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GPC\Documents\Work\2nd year Engineering\ENGSCI 263\OR\"/>
    </mc:Choice>
  </mc:AlternateContent>
  <xr:revisionPtr revIDLastSave="0" documentId="13_ncr:1_{7A9810AF-DBD5-4B1D-BAB2-37CBE5F2652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eet2" sheetId="8" r:id="rId1"/>
    <sheet name="Sheet3" sheetId="9" r:id="rId2"/>
    <sheet name="Sheet4" sheetId="10" r:id="rId3"/>
    <sheet name="WoolworthsDemands" sheetId="1" r:id="rId4"/>
  </sheets>
  <definedNames>
    <definedName name="_1_07_2021">WoolworthsDemands!$S$2:$S$66</definedName>
    <definedName name="_10_07_2021">WoolworthsDemands!$AB$2:$AB$66</definedName>
    <definedName name="_11_07_2021">WoolworthsDemands!$AC$2:$AC$66</definedName>
    <definedName name="_14_06_2021">WoolworthsDemands!$B$2:$B$66</definedName>
    <definedName name="_15_06_2021">WoolworthsDemands!$C$2:$C$66</definedName>
    <definedName name="_16_06_2021">WoolworthsDemands!$D$2:$D$66</definedName>
    <definedName name="_17_06_2021">WoolworthsDemands!$E$2:$E$66</definedName>
    <definedName name="_18_06_2021">WoolworthsDemands!$F$2:$F$66</definedName>
    <definedName name="_19_06_2021">WoolworthsDemands!$G$2:$G$66</definedName>
    <definedName name="_2_07_2021">WoolworthsDemands!$T$2:$T$66</definedName>
    <definedName name="_20_06_2021">WoolworthsDemands!$H$2:$H$66</definedName>
    <definedName name="_21_06_2021">WoolworthsDemands!$I$2:$I$66</definedName>
    <definedName name="_22_06_2021">WoolworthsDemands!$J$2:$J$66</definedName>
    <definedName name="_23_06_2021">WoolworthsDemands!$K$2:$K$66</definedName>
    <definedName name="_24_06_2021">WoolworthsDemands!$L$2:$L$66</definedName>
    <definedName name="_25_06_2021">WoolworthsDemands!$M$2:$M$66</definedName>
    <definedName name="_26_06_2021">WoolworthsDemands!$N$2:$N$66</definedName>
    <definedName name="_27_06_2021">WoolworthsDemands!$O$2:$O$66</definedName>
    <definedName name="_28_06_2021">WoolworthsDemands!$P$2:$P$66</definedName>
    <definedName name="_29_06_2021">WoolworthsDemands!$Q$2:$Q$66</definedName>
    <definedName name="_3_07_2021">WoolworthsDemands!$U$2:$U$66</definedName>
    <definedName name="_30_06_2021">WoolworthsDemands!$R$2:$R$66</definedName>
    <definedName name="_4_07_2021">WoolworthsDemands!$V$2:$V$66</definedName>
    <definedName name="_5_07_2021">WoolworthsDemands!$W$2:$W$66</definedName>
    <definedName name="_6_07_2021">WoolworthsDemands!$X$2:$X$66</definedName>
    <definedName name="_7_07_2021">WoolworthsDemands!$Y$2:$Y$66</definedName>
    <definedName name="_8_07_2021">WoolworthsDemands!$Z$2:$Z$66</definedName>
    <definedName name="_9_07_2021">WoolworthsDemands!$AA$2:$AA$66</definedName>
    <definedName name="Average_of_Weekday_Max">WoolworthsDemands!$AO$2:$AO$66</definedName>
    <definedName name="DemandData">WoolworthsDemands!$A$1:$AD$66</definedName>
    <definedName name="Friday">WoolworthsDemands!$AI$2:$AI$66</definedName>
    <definedName name="Max_of_Weekday_Average">WoolworthsDemands!$AP$2:$AP$66</definedName>
    <definedName name="Max_Value">WoolworthsDemands!$AN$2:$AN$66</definedName>
    <definedName name="Monday">WoolworthsDemands!$AE$2:$AE$66</definedName>
    <definedName name="Saturday">WoolworthsDemands!$AJ$2:$AJ$66</definedName>
    <definedName name="Store">WoolworthsDemands!$A$2:$A$66</definedName>
    <definedName name="StoreType">WoolworthsDemands!$AL$2:$AL$66</definedName>
    <definedName name="Sunday">WoolworthsDemands!$AK$2:$AK$66</definedName>
    <definedName name="Thursday">WoolworthsDemands!$AH$2:$AH$66</definedName>
    <definedName name="Total">WoolworthsDemands!$AD$2:$AD$66</definedName>
    <definedName name="Tuesday">WoolworthsDemands!$AF$2:$AF$66</definedName>
    <definedName name="Wednesday">WoolworthsDemands!$AG$2:$AG$66</definedName>
    <definedName name="Weekday_Average">WoolworthsDemands!$AM$2:$AM$66</definedName>
  </definedNames>
  <calcPr calcId="191029"/>
  <pivotCaches>
    <pivotCache cacheId="0" r:id="rId5"/>
    <pivotCache cacheId="1" r:id="rId6"/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56" i="1" l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2" i="1"/>
  <c r="AF137" i="1"/>
  <c r="AG137" i="1"/>
  <c r="AH137" i="1"/>
  <c r="AI137" i="1"/>
  <c r="AJ137" i="1"/>
  <c r="AK137" i="1"/>
  <c r="AE137" i="1"/>
  <c r="AF72" i="1"/>
  <c r="AG72" i="1"/>
  <c r="AH72" i="1"/>
  <c r="AI72" i="1"/>
  <c r="AJ72" i="1"/>
  <c r="AK72" i="1"/>
  <c r="AF73" i="1"/>
  <c r="AG73" i="1"/>
  <c r="AH73" i="1"/>
  <c r="AI73" i="1"/>
  <c r="AJ73" i="1"/>
  <c r="AK73" i="1"/>
  <c r="AF74" i="1"/>
  <c r="AG74" i="1"/>
  <c r="AH74" i="1"/>
  <c r="AI74" i="1"/>
  <c r="AJ74" i="1"/>
  <c r="AK74" i="1"/>
  <c r="AF75" i="1"/>
  <c r="AG75" i="1"/>
  <c r="AH75" i="1"/>
  <c r="AI75" i="1"/>
  <c r="AJ75" i="1"/>
  <c r="AK75" i="1"/>
  <c r="AF76" i="1"/>
  <c r="AG76" i="1"/>
  <c r="AH76" i="1"/>
  <c r="AI76" i="1"/>
  <c r="AJ76" i="1"/>
  <c r="AK76" i="1"/>
  <c r="AF77" i="1"/>
  <c r="AG77" i="1"/>
  <c r="AH77" i="1"/>
  <c r="AI77" i="1"/>
  <c r="AJ77" i="1"/>
  <c r="AK77" i="1"/>
  <c r="AF78" i="1"/>
  <c r="AG78" i="1"/>
  <c r="AH78" i="1"/>
  <c r="AI78" i="1"/>
  <c r="AJ78" i="1"/>
  <c r="AK78" i="1"/>
  <c r="AF79" i="1"/>
  <c r="AG79" i="1"/>
  <c r="AH79" i="1"/>
  <c r="AI79" i="1"/>
  <c r="AJ79" i="1"/>
  <c r="AK79" i="1"/>
  <c r="AF80" i="1"/>
  <c r="AG80" i="1"/>
  <c r="AH80" i="1"/>
  <c r="AI80" i="1"/>
  <c r="AJ80" i="1"/>
  <c r="AK80" i="1"/>
  <c r="AF81" i="1"/>
  <c r="AG81" i="1"/>
  <c r="AH81" i="1"/>
  <c r="AI81" i="1"/>
  <c r="AJ81" i="1"/>
  <c r="AK81" i="1"/>
  <c r="AF82" i="1"/>
  <c r="AG82" i="1"/>
  <c r="AH82" i="1"/>
  <c r="AI82" i="1"/>
  <c r="AJ82" i="1"/>
  <c r="AK82" i="1"/>
  <c r="AF83" i="1"/>
  <c r="AG83" i="1"/>
  <c r="AH83" i="1"/>
  <c r="AI83" i="1"/>
  <c r="AJ83" i="1"/>
  <c r="AK83" i="1"/>
  <c r="AF84" i="1"/>
  <c r="AG84" i="1"/>
  <c r="AH84" i="1"/>
  <c r="AI84" i="1"/>
  <c r="AJ84" i="1"/>
  <c r="AK84" i="1"/>
  <c r="AF85" i="1"/>
  <c r="AG85" i="1"/>
  <c r="AH85" i="1"/>
  <c r="AI85" i="1"/>
  <c r="AJ85" i="1"/>
  <c r="AK85" i="1"/>
  <c r="AF86" i="1"/>
  <c r="AG86" i="1"/>
  <c r="AH86" i="1"/>
  <c r="AI86" i="1"/>
  <c r="AJ86" i="1"/>
  <c r="AK86" i="1"/>
  <c r="AF87" i="1"/>
  <c r="AG87" i="1"/>
  <c r="AH87" i="1"/>
  <c r="AI87" i="1"/>
  <c r="AJ87" i="1"/>
  <c r="AK87" i="1"/>
  <c r="AF88" i="1"/>
  <c r="AG88" i="1"/>
  <c r="AH88" i="1"/>
  <c r="AI88" i="1"/>
  <c r="AJ88" i="1"/>
  <c r="AK88" i="1"/>
  <c r="AF89" i="1"/>
  <c r="AG89" i="1"/>
  <c r="AH89" i="1"/>
  <c r="AI89" i="1"/>
  <c r="AJ89" i="1"/>
  <c r="AK89" i="1"/>
  <c r="AF90" i="1"/>
  <c r="AG90" i="1"/>
  <c r="AH90" i="1"/>
  <c r="AI90" i="1"/>
  <c r="AJ90" i="1"/>
  <c r="AK90" i="1"/>
  <c r="AF91" i="1"/>
  <c r="AG91" i="1"/>
  <c r="AH91" i="1"/>
  <c r="AI91" i="1"/>
  <c r="AJ91" i="1"/>
  <c r="AK91" i="1"/>
  <c r="AF92" i="1"/>
  <c r="AG92" i="1"/>
  <c r="AH92" i="1"/>
  <c r="AI92" i="1"/>
  <c r="AJ92" i="1"/>
  <c r="AK92" i="1"/>
  <c r="AF93" i="1"/>
  <c r="AG93" i="1"/>
  <c r="AH93" i="1"/>
  <c r="AI93" i="1"/>
  <c r="AJ93" i="1"/>
  <c r="AK93" i="1"/>
  <c r="AF94" i="1"/>
  <c r="AG94" i="1"/>
  <c r="AH94" i="1"/>
  <c r="AI94" i="1"/>
  <c r="AJ94" i="1"/>
  <c r="AK94" i="1"/>
  <c r="AF95" i="1"/>
  <c r="AG95" i="1"/>
  <c r="AH95" i="1"/>
  <c r="AI95" i="1"/>
  <c r="AJ95" i="1"/>
  <c r="AK95" i="1"/>
  <c r="AF96" i="1"/>
  <c r="AG96" i="1"/>
  <c r="AH96" i="1"/>
  <c r="AI96" i="1"/>
  <c r="AJ96" i="1"/>
  <c r="AK96" i="1"/>
  <c r="AF97" i="1"/>
  <c r="AG97" i="1"/>
  <c r="AH97" i="1"/>
  <c r="AI97" i="1"/>
  <c r="AJ97" i="1"/>
  <c r="AK97" i="1"/>
  <c r="AF98" i="1"/>
  <c r="AG98" i="1"/>
  <c r="AH98" i="1"/>
  <c r="AI98" i="1"/>
  <c r="AJ98" i="1"/>
  <c r="AK98" i="1"/>
  <c r="AF99" i="1"/>
  <c r="AG99" i="1"/>
  <c r="AH99" i="1"/>
  <c r="AI99" i="1"/>
  <c r="AJ99" i="1"/>
  <c r="AK99" i="1"/>
  <c r="AF100" i="1"/>
  <c r="AG100" i="1"/>
  <c r="AH100" i="1"/>
  <c r="AI100" i="1"/>
  <c r="AJ100" i="1"/>
  <c r="AK100" i="1"/>
  <c r="AF101" i="1"/>
  <c r="AG101" i="1"/>
  <c r="AH101" i="1"/>
  <c r="AI101" i="1"/>
  <c r="AJ101" i="1"/>
  <c r="AK101" i="1"/>
  <c r="AF102" i="1"/>
  <c r="AG102" i="1"/>
  <c r="AH102" i="1"/>
  <c r="AI102" i="1"/>
  <c r="AJ102" i="1"/>
  <c r="AK102" i="1"/>
  <c r="AF103" i="1"/>
  <c r="AG103" i="1"/>
  <c r="AH103" i="1"/>
  <c r="AI103" i="1"/>
  <c r="AJ103" i="1"/>
  <c r="AK103" i="1"/>
  <c r="AF104" i="1"/>
  <c r="AG104" i="1"/>
  <c r="AH104" i="1"/>
  <c r="AI104" i="1"/>
  <c r="AJ104" i="1"/>
  <c r="AK104" i="1"/>
  <c r="AF105" i="1"/>
  <c r="AG105" i="1"/>
  <c r="AH105" i="1"/>
  <c r="AI105" i="1"/>
  <c r="AJ105" i="1"/>
  <c r="AK105" i="1"/>
  <c r="AF106" i="1"/>
  <c r="AG106" i="1"/>
  <c r="AH106" i="1"/>
  <c r="AI106" i="1"/>
  <c r="AJ106" i="1"/>
  <c r="AK106" i="1"/>
  <c r="AF107" i="1"/>
  <c r="AG107" i="1"/>
  <c r="AH107" i="1"/>
  <c r="AI107" i="1"/>
  <c r="AJ107" i="1"/>
  <c r="AK107" i="1"/>
  <c r="AF108" i="1"/>
  <c r="AG108" i="1"/>
  <c r="AH108" i="1"/>
  <c r="AI108" i="1"/>
  <c r="AJ108" i="1"/>
  <c r="AK108" i="1"/>
  <c r="AF109" i="1"/>
  <c r="AG109" i="1"/>
  <c r="AH109" i="1"/>
  <c r="AI109" i="1"/>
  <c r="AJ109" i="1"/>
  <c r="AK109" i="1"/>
  <c r="AF110" i="1"/>
  <c r="AG110" i="1"/>
  <c r="AH110" i="1"/>
  <c r="AI110" i="1"/>
  <c r="AJ110" i="1"/>
  <c r="AK110" i="1"/>
  <c r="AF111" i="1"/>
  <c r="AG111" i="1"/>
  <c r="AH111" i="1"/>
  <c r="AI111" i="1"/>
  <c r="AJ111" i="1"/>
  <c r="AK111" i="1"/>
  <c r="AF112" i="1"/>
  <c r="AG112" i="1"/>
  <c r="AH112" i="1"/>
  <c r="AI112" i="1"/>
  <c r="AJ112" i="1"/>
  <c r="AK112" i="1"/>
  <c r="AF113" i="1"/>
  <c r="AG113" i="1"/>
  <c r="AH113" i="1"/>
  <c r="AI113" i="1"/>
  <c r="AJ113" i="1"/>
  <c r="AK113" i="1"/>
  <c r="AF114" i="1"/>
  <c r="AG114" i="1"/>
  <c r="AH114" i="1"/>
  <c r="AI114" i="1"/>
  <c r="AJ114" i="1"/>
  <c r="AK114" i="1"/>
  <c r="AF115" i="1"/>
  <c r="AG115" i="1"/>
  <c r="AH115" i="1"/>
  <c r="AI115" i="1"/>
  <c r="AJ115" i="1"/>
  <c r="AK115" i="1"/>
  <c r="AF116" i="1"/>
  <c r="AG116" i="1"/>
  <c r="AH116" i="1"/>
  <c r="AI116" i="1"/>
  <c r="AJ116" i="1"/>
  <c r="AK116" i="1"/>
  <c r="AF117" i="1"/>
  <c r="AG117" i="1"/>
  <c r="AH117" i="1"/>
  <c r="AI117" i="1"/>
  <c r="AJ117" i="1"/>
  <c r="AK117" i="1"/>
  <c r="AF118" i="1"/>
  <c r="AG118" i="1"/>
  <c r="AH118" i="1"/>
  <c r="AI118" i="1"/>
  <c r="AJ118" i="1"/>
  <c r="AK118" i="1"/>
  <c r="AF119" i="1"/>
  <c r="AG119" i="1"/>
  <c r="AH119" i="1"/>
  <c r="AI119" i="1"/>
  <c r="AJ119" i="1"/>
  <c r="AK119" i="1"/>
  <c r="AF120" i="1"/>
  <c r="AG120" i="1"/>
  <c r="AH120" i="1"/>
  <c r="AI120" i="1"/>
  <c r="AJ120" i="1"/>
  <c r="AK120" i="1"/>
  <c r="AF121" i="1"/>
  <c r="AG121" i="1"/>
  <c r="AH121" i="1"/>
  <c r="AI121" i="1"/>
  <c r="AJ121" i="1"/>
  <c r="AK121" i="1"/>
  <c r="AF122" i="1"/>
  <c r="AG122" i="1"/>
  <c r="AH122" i="1"/>
  <c r="AI122" i="1"/>
  <c r="AJ122" i="1"/>
  <c r="AK122" i="1"/>
  <c r="AF123" i="1"/>
  <c r="AG123" i="1"/>
  <c r="AH123" i="1"/>
  <c r="AI123" i="1"/>
  <c r="AJ123" i="1"/>
  <c r="AK123" i="1"/>
  <c r="AF124" i="1"/>
  <c r="AG124" i="1"/>
  <c r="AH124" i="1"/>
  <c r="AI124" i="1"/>
  <c r="AJ124" i="1"/>
  <c r="AK124" i="1"/>
  <c r="AF125" i="1"/>
  <c r="AG125" i="1"/>
  <c r="AH125" i="1"/>
  <c r="AI125" i="1"/>
  <c r="AJ125" i="1"/>
  <c r="AK125" i="1"/>
  <c r="AF126" i="1"/>
  <c r="AG126" i="1"/>
  <c r="AH126" i="1"/>
  <c r="AI126" i="1"/>
  <c r="AJ126" i="1"/>
  <c r="AK126" i="1"/>
  <c r="AF127" i="1"/>
  <c r="AG127" i="1"/>
  <c r="AH127" i="1"/>
  <c r="AI127" i="1"/>
  <c r="AJ127" i="1"/>
  <c r="AK127" i="1"/>
  <c r="AF128" i="1"/>
  <c r="AG128" i="1"/>
  <c r="AH128" i="1"/>
  <c r="AI128" i="1"/>
  <c r="AJ128" i="1"/>
  <c r="AK128" i="1"/>
  <c r="AF129" i="1"/>
  <c r="AG129" i="1"/>
  <c r="AH129" i="1"/>
  <c r="AI129" i="1"/>
  <c r="AJ129" i="1"/>
  <c r="AK129" i="1"/>
  <c r="AF130" i="1"/>
  <c r="AG130" i="1"/>
  <c r="AH130" i="1"/>
  <c r="AI130" i="1"/>
  <c r="AJ130" i="1"/>
  <c r="AK130" i="1"/>
  <c r="AF131" i="1"/>
  <c r="AG131" i="1"/>
  <c r="AH131" i="1"/>
  <c r="AI131" i="1"/>
  <c r="AJ131" i="1"/>
  <c r="AK131" i="1"/>
  <c r="AF132" i="1"/>
  <c r="AG132" i="1"/>
  <c r="AH132" i="1"/>
  <c r="AI132" i="1"/>
  <c r="AJ132" i="1"/>
  <c r="AK132" i="1"/>
  <c r="AF133" i="1"/>
  <c r="AG133" i="1"/>
  <c r="AH133" i="1"/>
  <c r="AI133" i="1"/>
  <c r="AJ133" i="1"/>
  <c r="AK133" i="1"/>
  <c r="AF134" i="1"/>
  <c r="AG134" i="1"/>
  <c r="AH134" i="1"/>
  <c r="AI134" i="1"/>
  <c r="AJ134" i="1"/>
  <c r="AK134" i="1"/>
  <c r="AF135" i="1"/>
  <c r="AG135" i="1"/>
  <c r="AH135" i="1"/>
  <c r="AI135" i="1"/>
  <c r="AJ135" i="1"/>
  <c r="AK135" i="1"/>
  <c r="AF136" i="1"/>
  <c r="AG136" i="1"/>
  <c r="AH136" i="1"/>
  <c r="AI136" i="1"/>
  <c r="AJ136" i="1"/>
  <c r="AK136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72" i="1"/>
  <c r="AE2" i="1" s="1"/>
  <c r="AE67" i="1" s="1"/>
  <c r="E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D67" i="1"/>
  <c r="C67" i="1"/>
  <c r="B67" i="1"/>
  <c r="AG67" i="1"/>
  <c r="AF67" i="1"/>
  <c r="AJ67" i="1"/>
  <c r="AI67" i="1"/>
  <c r="AH67" i="1"/>
  <c r="AV2" i="1" a="1"/>
  <c r="AV2" i="1" s="1"/>
  <c r="AO5" i="1"/>
  <c r="AQ2" i="1" a="1"/>
  <c r="AQ2" i="1" s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2" i="1"/>
  <c r="AO3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2" i="1"/>
  <c r="AM3" i="1" l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2" i="1"/>
  <c r="AR2" i="1" s="1" a="1"/>
  <c r="AR2" i="1" s="1"/>
  <c r="AJ3" i="1"/>
  <c r="AK3" i="1"/>
  <c r="AJ4" i="1"/>
  <c r="AK4" i="1"/>
  <c r="AJ5" i="1"/>
  <c r="AK5" i="1"/>
  <c r="AJ6" i="1"/>
  <c r="AK6" i="1"/>
  <c r="AJ7" i="1"/>
  <c r="AK7" i="1"/>
  <c r="AJ8" i="1"/>
  <c r="AK8" i="1"/>
  <c r="AJ9" i="1"/>
  <c r="AK9" i="1"/>
  <c r="AJ10" i="1"/>
  <c r="AK10" i="1"/>
  <c r="AJ11" i="1"/>
  <c r="AK11" i="1"/>
  <c r="AJ12" i="1"/>
  <c r="AK12" i="1"/>
  <c r="AJ13" i="1"/>
  <c r="AK13" i="1"/>
  <c r="AJ14" i="1"/>
  <c r="AK14" i="1"/>
  <c r="AJ15" i="1"/>
  <c r="AK15" i="1"/>
  <c r="AJ16" i="1"/>
  <c r="AK16" i="1"/>
  <c r="AJ17" i="1"/>
  <c r="AK17" i="1"/>
  <c r="AJ18" i="1"/>
  <c r="AK18" i="1"/>
  <c r="AJ19" i="1"/>
  <c r="AK19" i="1"/>
  <c r="AJ20" i="1"/>
  <c r="AK20" i="1"/>
  <c r="AJ21" i="1"/>
  <c r="AK21" i="1"/>
  <c r="AJ22" i="1"/>
  <c r="AK22" i="1"/>
  <c r="AJ23" i="1"/>
  <c r="AK23" i="1"/>
  <c r="AJ24" i="1"/>
  <c r="AK24" i="1"/>
  <c r="AJ25" i="1"/>
  <c r="AK25" i="1"/>
  <c r="AJ26" i="1"/>
  <c r="AK26" i="1"/>
  <c r="AJ27" i="1"/>
  <c r="AK27" i="1"/>
  <c r="AJ28" i="1"/>
  <c r="AK28" i="1"/>
  <c r="AJ29" i="1"/>
  <c r="AK29" i="1"/>
  <c r="AJ30" i="1"/>
  <c r="AK30" i="1"/>
  <c r="AJ31" i="1"/>
  <c r="AK31" i="1"/>
  <c r="AJ32" i="1"/>
  <c r="AK32" i="1"/>
  <c r="AJ33" i="1"/>
  <c r="AK33" i="1"/>
  <c r="AJ34" i="1"/>
  <c r="AK34" i="1"/>
  <c r="AJ35" i="1"/>
  <c r="AK35" i="1"/>
  <c r="AJ36" i="1"/>
  <c r="AK36" i="1"/>
  <c r="AJ37" i="1"/>
  <c r="AK37" i="1"/>
  <c r="AJ38" i="1"/>
  <c r="AK38" i="1"/>
  <c r="AJ39" i="1"/>
  <c r="AK39" i="1"/>
  <c r="AJ40" i="1"/>
  <c r="AK40" i="1"/>
  <c r="AJ41" i="1"/>
  <c r="AK41" i="1"/>
  <c r="AJ42" i="1"/>
  <c r="AK42" i="1"/>
  <c r="AJ43" i="1"/>
  <c r="AK43" i="1"/>
  <c r="AJ44" i="1"/>
  <c r="AK44" i="1"/>
  <c r="AJ45" i="1"/>
  <c r="AK45" i="1"/>
  <c r="AJ46" i="1"/>
  <c r="AK46" i="1"/>
  <c r="AJ47" i="1"/>
  <c r="AK47" i="1"/>
  <c r="AJ48" i="1"/>
  <c r="AK48" i="1"/>
  <c r="AJ49" i="1"/>
  <c r="AK49" i="1"/>
  <c r="AJ50" i="1"/>
  <c r="AK50" i="1"/>
  <c r="AJ51" i="1"/>
  <c r="AK51" i="1"/>
  <c r="AJ52" i="1"/>
  <c r="AK52" i="1"/>
  <c r="AJ53" i="1"/>
  <c r="AK53" i="1"/>
  <c r="AJ54" i="1"/>
  <c r="AK54" i="1"/>
  <c r="AJ55" i="1"/>
  <c r="AK55" i="1"/>
  <c r="AJ56" i="1"/>
  <c r="AK56" i="1"/>
  <c r="AJ57" i="1"/>
  <c r="AK57" i="1"/>
  <c r="AJ58" i="1"/>
  <c r="AK58" i="1"/>
  <c r="AJ59" i="1"/>
  <c r="AK59" i="1"/>
  <c r="AJ60" i="1"/>
  <c r="AK60" i="1"/>
  <c r="AJ61" i="1"/>
  <c r="AK61" i="1"/>
  <c r="AJ62" i="1"/>
  <c r="AK62" i="1"/>
  <c r="AJ63" i="1"/>
  <c r="AK63" i="1"/>
  <c r="AJ64" i="1"/>
  <c r="AK64" i="1"/>
  <c r="AJ65" i="1"/>
  <c r="AK65" i="1"/>
  <c r="AJ66" i="1"/>
  <c r="AK66" i="1"/>
  <c r="AK2" i="1"/>
  <c r="AE3" i="1"/>
  <c r="AF3" i="1"/>
  <c r="AG3" i="1"/>
  <c r="AH3" i="1"/>
  <c r="AI3" i="1"/>
  <c r="AE4" i="1"/>
  <c r="AF4" i="1"/>
  <c r="AG4" i="1"/>
  <c r="AH4" i="1"/>
  <c r="AI4" i="1"/>
  <c r="AE5" i="1"/>
  <c r="AF5" i="1"/>
  <c r="AG5" i="1"/>
  <c r="AH5" i="1"/>
  <c r="AI5" i="1"/>
  <c r="AE6" i="1"/>
  <c r="AF6" i="1"/>
  <c r="AG6" i="1"/>
  <c r="AH6" i="1"/>
  <c r="AI6" i="1"/>
  <c r="AE7" i="1"/>
  <c r="AF7" i="1"/>
  <c r="AG7" i="1"/>
  <c r="AH7" i="1"/>
  <c r="AI7" i="1"/>
  <c r="AE8" i="1"/>
  <c r="AF8" i="1"/>
  <c r="AG8" i="1"/>
  <c r="AH8" i="1"/>
  <c r="AI8" i="1"/>
  <c r="AE9" i="1"/>
  <c r="AF9" i="1"/>
  <c r="AG9" i="1"/>
  <c r="AH9" i="1"/>
  <c r="AI9" i="1"/>
  <c r="AE10" i="1"/>
  <c r="AF10" i="1"/>
  <c r="AG10" i="1"/>
  <c r="AH10" i="1"/>
  <c r="AI10" i="1"/>
  <c r="AE11" i="1"/>
  <c r="AF11" i="1"/>
  <c r="AG11" i="1"/>
  <c r="AH11" i="1"/>
  <c r="AI11" i="1"/>
  <c r="AE12" i="1"/>
  <c r="AF12" i="1"/>
  <c r="AG12" i="1"/>
  <c r="AH12" i="1"/>
  <c r="AI12" i="1"/>
  <c r="AE13" i="1"/>
  <c r="AF13" i="1"/>
  <c r="AG13" i="1"/>
  <c r="AH13" i="1"/>
  <c r="AI13" i="1"/>
  <c r="AE14" i="1"/>
  <c r="AF14" i="1"/>
  <c r="AG14" i="1"/>
  <c r="AH14" i="1"/>
  <c r="AI14" i="1"/>
  <c r="AE15" i="1"/>
  <c r="AF15" i="1"/>
  <c r="AG15" i="1"/>
  <c r="AH15" i="1"/>
  <c r="AI15" i="1"/>
  <c r="AE16" i="1"/>
  <c r="AF16" i="1"/>
  <c r="AG16" i="1"/>
  <c r="AH16" i="1"/>
  <c r="AI16" i="1"/>
  <c r="AE17" i="1"/>
  <c r="AF17" i="1"/>
  <c r="AG17" i="1"/>
  <c r="AH17" i="1"/>
  <c r="AI17" i="1"/>
  <c r="AE18" i="1"/>
  <c r="AF18" i="1"/>
  <c r="AG18" i="1"/>
  <c r="AH18" i="1"/>
  <c r="AI18" i="1"/>
  <c r="AE19" i="1"/>
  <c r="AF19" i="1"/>
  <c r="AG19" i="1"/>
  <c r="AH19" i="1"/>
  <c r="AI19" i="1"/>
  <c r="AE20" i="1"/>
  <c r="AF20" i="1"/>
  <c r="AG20" i="1"/>
  <c r="AH20" i="1"/>
  <c r="AI20" i="1"/>
  <c r="AE21" i="1"/>
  <c r="AF21" i="1"/>
  <c r="AG21" i="1"/>
  <c r="AH21" i="1"/>
  <c r="AI21" i="1"/>
  <c r="AE22" i="1"/>
  <c r="AF22" i="1"/>
  <c r="AG22" i="1"/>
  <c r="AH22" i="1"/>
  <c r="AI22" i="1"/>
  <c r="AE23" i="1"/>
  <c r="AF23" i="1"/>
  <c r="AG23" i="1"/>
  <c r="AH23" i="1"/>
  <c r="AI23" i="1"/>
  <c r="AE24" i="1"/>
  <c r="AF24" i="1"/>
  <c r="AG24" i="1"/>
  <c r="AH24" i="1"/>
  <c r="AI24" i="1"/>
  <c r="AE25" i="1"/>
  <c r="AF25" i="1"/>
  <c r="AG25" i="1"/>
  <c r="AH25" i="1"/>
  <c r="AI25" i="1"/>
  <c r="AE26" i="1"/>
  <c r="AF26" i="1"/>
  <c r="AG26" i="1"/>
  <c r="AH26" i="1"/>
  <c r="AI26" i="1"/>
  <c r="AE27" i="1"/>
  <c r="AF27" i="1"/>
  <c r="AG27" i="1"/>
  <c r="AH27" i="1"/>
  <c r="AI27" i="1"/>
  <c r="AE28" i="1"/>
  <c r="AF28" i="1"/>
  <c r="AG28" i="1"/>
  <c r="AH28" i="1"/>
  <c r="AI28" i="1"/>
  <c r="AE29" i="1"/>
  <c r="AF29" i="1"/>
  <c r="AG29" i="1"/>
  <c r="AH29" i="1"/>
  <c r="AI29" i="1"/>
  <c r="AE30" i="1"/>
  <c r="AF30" i="1"/>
  <c r="AG30" i="1"/>
  <c r="AH30" i="1"/>
  <c r="AI30" i="1"/>
  <c r="AE31" i="1"/>
  <c r="AF31" i="1"/>
  <c r="AG31" i="1"/>
  <c r="AH31" i="1"/>
  <c r="AI31" i="1"/>
  <c r="AE32" i="1"/>
  <c r="AF32" i="1"/>
  <c r="AG32" i="1"/>
  <c r="AH32" i="1"/>
  <c r="AI32" i="1"/>
  <c r="AE33" i="1"/>
  <c r="AF33" i="1"/>
  <c r="AG33" i="1"/>
  <c r="AH33" i="1"/>
  <c r="AI33" i="1"/>
  <c r="AE34" i="1"/>
  <c r="AF34" i="1"/>
  <c r="AG34" i="1"/>
  <c r="AH34" i="1"/>
  <c r="AI34" i="1"/>
  <c r="AE35" i="1"/>
  <c r="AF35" i="1"/>
  <c r="AG35" i="1"/>
  <c r="AH35" i="1"/>
  <c r="AI35" i="1"/>
  <c r="AE36" i="1"/>
  <c r="AF36" i="1"/>
  <c r="AG36" i="1"/>
  <c r="AH36" i="1"/>
  <c r="AI36" i="1"/>
  <c r="AE37" i="1"/>
  <c r="AF37" i="1"/>
  <c r="AG37" i="1"/>
  <c r="AH37" i="1"/>
  <c r="AI37" i="1"/>
  <c r="AE38" i="1"/>
  <c r="AF38" i="1"/>
  <c r="AG38" i="1"/>
  <c r="AH38" i="1"/>
  <c r="AI38" i="1"/>
  <c r="AE39" i="1"/>
  <c r="AF39" i="1"/>
  <c r="AG39" i="1"/>
  <c r="AH39" i="1"/>
  <c r="AI39" i="1"/>
  <c r="AE40" i="1"/>
  <c r="AF40" i="1"/>
  <c r="AG40" i="1"/>
  <c r="AH40" i="1"/>
  <c r="AI40" i="1"/>
  <c r="AE41" i="1"/>
  <c r="AF41" i="1"/>
  <c r="AG41" i="1"/>
  <c r="AH41" i="1"/>
  <c r="AI41" i="1"/>
  <c r="AE42" i="1"/>
  <c r="AF42" i="1"/>
  <c r="AG42" i="1"/>
  <c r="AH42" i="1"/>
  <c r="AI42" i="1"/>
  <c r="AE43" i="1"/>
  <c r="AF43" i="1"/>
  <c r="AG43" i="1"/>
  <c r="AH43" i="1"/>
  <c r="AI43" i="1"/>
  <c r="AE44" i="1"/>
  <c r="AF44" i="1"/>
  <c r="AG44" i="1"/>
  <c r="AH44" i="1"/>
  <c r="AI44" i="1"/>
  <c r="AE45" i="1"/>
  <c r="AF45" i="1"/>
  <c r="AG45" i="1"/>
  <c r="AH45" i="1"/>
  <c r="AI45" i="1"/>
  <c r="AE46" i="1"/>
  <c r="AF46" i="1"/>
  <c r="AG46" i="1"/>
  <c r="AH46" i="1"/>
  <c r="AI46" i="1"/>
  <c r="AE47" i="1"/>
  <c r="AF47" i="1"/>
  <c r="AG47" i="1"/>
  <c r="AH47" i="1"/>
  <c r="AI47" i="1"/>
  <c r="AE48" i="1"/>
  <c r="AF48" i="1"/>
  <c r="AG48" i="1"/>
  <c r="AH48" i="1"/>
  <c r="AI48" i="1"/>
  <c r="AE49" i="1"/>
  <c r="AF49" i="1"/>
  <c r="AG49" i="1"/>
  <c r="AH49" i="1"/>
  <c r="AI49" i="1"/>
  <c r="AE50" i="1"/>
  <c r="AF50" i="1"/>
  <c r="AG50" i="1"/>
  <c r="AH50" i="1"/>
  <c r="AI50" i="1"/>
  <c r="AE51" i="1"/>
  <c r="AF51" i="1"/>
  <c r="AG51" i="1"/>
  <c r="AH51" i="1"/>
  <c r="AI51" i="1"/>
  <c r="AE52" i="1"/>
  <c r="AF52" i="1"/>
  <c r="AG52" i="1"/>
  <c r="AH52" i="1"/>
  <c r="AI52" i="1"/>
  <c r="AE53" i="1"/>
  <c r="AF53" i="1"/>
  <c r="AG53" i="1"/>
  <c r="AH53" i="1"/>
  <c r="AI53" i="1"/>
  <c r="AE54" i="1"/>
  <c r="AF54" i="1"/>
  <c r="AG54" i="1"/>
  <c r="AH54" i="1"/>
  <c r="AI54" i="1"/>
  <c r="AE55" i="1"/>
  <c r="AF55" i="1"/>
  <c r="AG55" i="1"/>
  <c r="AH55" i="1"/>
  <c r="AI55" i="1"/>
  <c r="AE56" i="1"/>
  <c r="AF56" i="1"/>
  <c r="AG56" i="1"/>
  <c r="AH56" i="1"/>
  <c r="AI56" i="1"/>
  <c r="AE57" i="1"/>
  <c r="AF57" i="1"/>
  <c r="AG57" i="1"/>
  <c r="AH57" i="1"/>
  <c r="AI57" i="1"/>
  <c r="AE58" i="1"/>
  <c r="AF58" i="1"/>
  <c r="AG58" i="1"/>
  <c r="AH58" i="1"/>
  <c r="AI58" i="1"/>
  <c r="AE59" i="1"/>
  <c r="AF59" i="1"/>
  <c r="AG59" i="1"/>
  <c r="AH59" i="1"/>
  <c r="AI59" i="1"/>
  <c r="AE60" i="1"/>
  <c r="AF60" i="1"/>
  <c r="AG60" i="1"/>
  <c r="AH60" i="1"/>
  <c r="AI60" i="1"/>
  <c r="AE61" i="1"/>
  <c r="AF61" i="1"/>
  <c r="AG61" i="1"/>
  <c r="AH61" i="1"/>
  <c r="AI61" i="1"/>
  <c r="AE62" i="1"/>
  <c r="AF62" i="1"/>
  <c r="AG62" i="1"/>
  <c r="AH62" i="1"/>
  <c r="AI62" i="1"/>
  <c r="AE63" i="1"/>
  <c r="AF63" i="1"/>
  <c r="AG63" i="1"/>
  <c r="AH63" i="1"/>
  <c r="AI63" i="1"/>
  <c r="AE64" i="1"/>
  <c r="AF64" i="1"/>
  <c r="AG64" i="1"/>
  <c r="AH64" i="1"/>
  <c r="AI64" i="1"/>
  <c r="AE65" i="1"/>
  <c r="AF65" i="1"/>
  <c r="AG65" i="1"/>
  <c r="AH65" i="1"/>
  <c r="AI65" i="1"/>
  <c r="AE66" i="1"/>
  <c r="AF66" i="1"/>
  <c r="AG66" i="1"/>
  <c r="AH66" i="1"/>
  <c r="AI66" i="1"/>
  <c r="AF2" i="1"/>
  <c r="AG2" i="1"/>
  <c r="AH2" i="1"/>
  <c r="AI2" i="1"/>
  <c r="AJ2" i="1"/>
  <c r="AS4" i="1" l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<sst xmlns="http://schemas.openxmlformats.org/spreadsheetml/2006/main" count="200" uniqueCount="104">
  <si>
    <t>Store</t>
  </si>
  <si>
    <t>Countdown Airport</t>
  </si>
  <si>
    <t>Countdown Auckland City</t>
  </si>
  <si>
    <t>Countdown Aviemore Drive</t>
  </si>
  <si>
    <t>Countdown Birkenhead</t>
  </si>
  <si>
    <t>Countdown Blockhouse Bay</t>
  </si>
  <si>
    <t>Countdown Botany Downs</t>
  </si>
  <si>
    <t>Countdown Browns Bay</t>
  </si>
  <si>
    <t>Countdown Glenfield</t>
  </si>
  <si>
    <t>Countdown Greenlane</t>
  </si>
  <si>
    <t>Countdown Grey Lynn</t>
  </si>
  <si>
    <t>Countdown Grey Lynn Central</t>
  </si>
  <si>
    <t>Countdown Hauraki Corner</t>
  </si>
  <si>
    <t>Countdown Henderson</t>
  </si>
  <si>
    <t>Countdown Highland Park</t>
  </si>
  <si>
    <t>Countdown Hobsonville</t>
  </si>
  <si>
    <t>Countdown Howick</t>
  </si>
  <si>
    <t>Countdown Kelston</t>
  </si>
  <si>
    <t>Countdown Lincoln Road</t>
  </si>
  <si>
    <t>Countdown Lynfield</t>
  </si>
  <si>
    <t>Countdown Lynmall</t>
  </si>
  <si>
    <t>Countdown Mairangi Bay</t>
  </si>
  <si>
    <t>Countdown Mangere East</t>
  </si>
  <si>
    <t>Countdown Mangere Mall</t>
  </si>
  <si>
    <t>Countdown Manukau</t>
  </si>
  <si>
    <t>Countdown Manukau Mall</t>
  </si>
  <si>
    <t>Countdown Manurewa</t>
  </si>
  <si>
    <t>Countdown Meadowbank</t>
  </si>
  <si>
    <t>Countdown Meadowlands</t>
  </si>
  <si>
    <t>Countdown Metro Albert Street</t>
  </si>
  <si>
    <t>Countdown Metro Halsey Street</t>
  </si>
  <si>
    <t>Countdown Milford</t>
  </si>
  <si>
    <t>Countdown Mt Eden</t>
  </si>
  <si>
    <t>Countdown Mt Roskill</t>
  </si>
  <si>
    <t>Countdown Mt Wellington</t>
  </si>
  <si>
    <t>Countdown Newmarket</t>
  </si>
  <si>
    <t>Countdown Northcote</t>
  </si>
  <si>
    <t>Countdown Northwest</t>
  </si>
  <si>
    <t>Countdown Onehunga</t>
  </si>
  <si>
    <t>Countdown Pakuranga</t>
  </si>
  <si>
    <t>Countdown Papakura</t>
  </si>
  <si>
    <t>Countdown Papatoetoe</t>
  </si>
  <si>
    <t>Countdown Ponsonby</t>
  </si>
  <si>
    <t>Countdown Pt Chevalier</t>
  </si>
  <si>
    <t>Countdown Roselands</t>
  </si>
  <si>
    <t>Countdown St Johns</t>
  </si>
  <si>
    <t>Countdown St Lukes</t>
  </si>
  <si>
    <t>Countdown Sunnynook</t>
  </si>
  <si>
    <t>Countdown Sylvia Park</t>
  </si>
  <si>
    <t>Countdown Takanini</t>
  </si>
  <si>
    <t>Countdown Takapuna</t>
  </si>
  <si>
    <t>Countdown Te Atatu</t>
  </si>
  <si>
    <t>Countdown Te Atatu South</t>
  </si>
  <si>
    <t>Countdown Three Kings</t>
  </si>
  <si>
    <t>Countdown Victoria Street West</t>
  </si>
  <si>
    <t>Countdown Westgate</t>
  </si>
  <si>
    <t>FreshChoice Glen Eden</t>
  </si>
  <si>
    <t>FreshChoice Half Moon Bay</t>
  </si>
  <si>
    <t>FreshChoice Mangere Bridge</t>
  </si>
  <si>
    <t>FreshChoice Otahuhu</t>
  </si>
  <si>
    <t>FreshChoice Ranui</t>
  </si>
  <si>
    <t>SuperValue Avondale</t>
  </si>
  <si>
    <t>SuperValue Flatbush</t>
  </si>
  <si>
    <t>SuperValue Palomino</t>
  </si>
  <si>
    <t>SuperValue Papakura</t>
  </si>
  <si>
    <t>SuperValue Titirangi</t>
  </si>
  <si>
    <t>Grand Total</t>
  </si>
  <si>
    <t>Total</t>
  </si>
  <si>
    <t>Sum of Total</t>
  </si>
  <si>
    <t>Monday</t>
  </si>
  <si>
    <t>Tuesday</t>
  </si>
  <si>
    <t>Wednesday</t>
  </si>
  <si>
    <t>Thursday</t>
  </si>
  <si>
    <t>Friday</t>
  </si>
  <si>
    <t>Saturday</t>
  </si>
  <si>
    <t>Sunday</t>
  </si>
  <si>
    <t>Sum of Monday</t>
  </si>
  <si>
    <t>Sum of Tuesday</t>
  </si>
  <si>
    <t>Sum of Wednesday</t>
  </si>
  <si>
    <t>Sum of Thursday</t>
  </si>
  <si>
    <t>Sum of Friday</t>
  </si>
  <si>
    <t>Sum of Saturday</t>
  </si>
  <si>
    <t>StoreType</t>
  </si>
  <si>
    <t>Countdown</t>
  </si>
  <si>
    <t>FreshChoice</t>
  </si>
  <si>
    <t>SuperValue</t>
  </si>
  <si>
    <t>Row Labels</t>
  </si>
  <si>
    <t>Weekday Average</t>
  </si>
  <si>
    <t>Sum of Weekday Average</t>
  </si>
  <si>
    <t>Average of average</t>
  </si>
  <si>
    <t>Max Value</t>
  </si>
  <si>
    <t>Average of Weekday Max</t>
  </si>
  <si>
    <t>Sum of Max Value</t>
  </si>
  <si>
    <t>Sum of Average of Weekday Max</t>
  </si>
  <si>
    <t>Max of Weekday Average</t>
  </si>
  <si>
    <t>Sum of Max of Weekday Average</t>
  </si>
  <si>
    <t>Rounded Up Max of Weekday Average</t>
  </si>
  <si>
    <t>Rounded Up Weekday Average</t>
  </si>
  <si>
    <t>Rounded up Saturday Average</t>
  </si>
  <si>
    <t>Highest orders on:</t>
  </si>
  <si>
    <t>Saturday Max</t>
  </si>
  <si>
    <t>Difference between Maximun Saturday value and the rounded up average</t>
  </si>
  <si>
    <t>Average deiation from rounded up average</t>
  </si>
  <si>
    <t>Supermarkets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</si>
</sst>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GPC" refreshedDate="44463.572647106485" createdVersion="6" refreshedVersion="6" minRefreshableVersion="3" recordCount="65" xr:uid="{9517D61E-7B9A-4259-A0C7-C21577BB9373}">
  <cacheSource type="worksheet">
    <worksheetSource ref="A1:AM66" sheet="WoolworthsDemands"/>
  </cacheSource>
  <cacheFields count="39">
    <cacheField name="Store" numFmtId="0">
      <sharedItems count="65">
        <s v="Countdown Airport"/>
        <s v="Countdown Auckland City"/>
        <s v="Countdown Aviemore Drive"/>
        <s v="Countdown Birkenhead"/>
        <s v="Countdown Blockhouse Bay"/>
        <s v="Countdown Botany Downs"/>
        <s v="Countdown Browns Bay"/>
        <s v="Countdown Glenfield"/>
        <s v="Countdown Greenlane"/>
        <s v="Countdown Grey Lynn"/>
        <s v="Countdown Grey Lynn Central"/>
        <s v="Countdown Hauraki Corner"/>
        <s v="Countdown Henderson"/>
        <s v="Countdown Highland Park"/>
        <s v="Countdown Hobsonville"/>
        <s v="Countdown Howick"/>
        <s v="Countdown Kelston"/>
        <s v="Countdown Lincoln Road"/>
        <s v="Countdown Lynfield"/>
        <s v="Countdown Lynmall"/>
        <s v="Countdown Mairangi Bay"/>
        <s v="Countdown Mangere East"/>
        <s v="Countdown Mangere Mall"/>
        <s v="Countdown Manukau"/>
        <s v="Countdown Manukau Mall"/>
        <s v="Countdown Manurewa"/>
        <s v="Countdown Meadowbank"/>
        <s v="Countdown Meadowlands"/>
        <s v="Countdown Metro Albert Street"/>
        <s v="Countdown Metro Halsey Street"/>
        <s v="Countdown Milford"/>
        <s v="Countdown Mt Eden"/>
        <s v="Countdown Mt Roskill"/>
        <s v="Countdown Mt Wellington"/>
        <s v="Countdown Newmarket"/>
        <s v="Countdown Northcote"/>
        <s v="Countdown Northwest"/>
        <s v="Countdown Onehunga"/>
        <s v="Countdown Pakuranga"/>
        <s v="Countdown Papakura"/>
        <s v="Countdown Papatoetoe"/>
        <s v="Countdown Ponsonby"/>
        <s v="Countdown Pt Chevalier"/>
        <s v="Countdown Roselands"/>
        <s v="Countdown St Johns"/>
        <s v="Countdown St Lukes"/>
        <s v="Countdown Sunnynook"/>
        <s v="Countdown Sylvia Park"/>
        <s v="Countdown Takanini"/>
        <s v="Countdown Takapuna"/>
        <s v="Countdown Te Atatu"/>
        <s v="Countdown Te Atatu South"/>
        <s v="Countdown Three Kings"/>
        <s v="Countdown Victoria Street West"/>
        <s v="Countdown Westgate"/>
        <s v="FreshChoice Glen Eden"/>
        <s v="FreshChoice Half Moon Bay"/>
        <s v="FreshChoice Mangere Bridge"/>
        <s v="FreshChoice Otahuhu"/>
        <s v="FreshChoice Ranui"/>
        <s v="SuperValue Avondale"/>
        <s v="SuperValue Flatbush"/>
        <s v="SuperValue Palomino"/>
        <s v="SuperValue Papakura"/>
        <s v="SuperValue Titirangi"/>
      </sharedItems>
    </cacheField>
    <cacheField name="14/06/2021" numFmtId="0">
      <sharedItems containsSemiMixedTypes="0" containsString="0" containsNumber="1" containsInteger="1" minValue="3" maxValue="15"/>
    </cacheField>
    <cacheField name="15/06/2021" numFmtId="0">
      <sharedItems containsSemiMixedTypes="0" containsString="0" containsNumber="1" containsInteger="1" minValue="2" maxValue="12"/>
    </cacheField>
    <cacheField name="16/06/2021" numFmtId="0">
      <sharedItems containsSemiMixedTypes="0" containsString="0" containsNumber="1" containsInteger="1" minValue="2" maxValue="13"/>
    </cacheField>
    <cacheField name="17/06/2021" numFmtId="0">
      <sharedItems containsSemiMixedTypes="0" containsString="0" containsNumber="1" containsInteger="1" minValue="2" maxValue="14"/>
    </cacheField>
    <cacheField name="18/06/2021" numFmtId="0">
      <sharedItems containsSemiMixedTypes="0" containsString="0" containsNumber="1" containsInteger="1" minValue="2" maxValue="15"/>
    </cacheField>
    <cacheField name="19/06/2021" numFmtId="0">
      <sharedItems containsSemiMixedTypes="0" containsString="0" containsNumber="1" containsInteger="1" minValue="0" maxValue="6"/>
    </cacheField>
    <cacheField name="20/06/2021" numFmtId="0">
      <sharedItems containsSemiMixedTypes="0" containsString="0" containsNumber="1" containsInteger="1" minValue="0" maxValue="0"/>
    </cacheField>
    <cacheField name="21/06/2021" numFmtId="0">
      <sharedItems containsSemiMixedTypes="0" containsString="0" containsNumber="1" containsInteger="1" minValue="3" maxValue="13"/>
    </cacheField>
    <cacheField name="22/06/2021" numFmtId="0">
      <sharedItems containsSemiMixedTypes="0" containsString="0" containsNumber="1" containsInteger="1" minValue="2" maxValue="15"/>
    </cacheField>
    <cacheField name="23/06/2021" numFmtId="0">
      <sharedItems containsSemiMixedTypes="0" containsString="0" containsNumber="1" containsInteger="1" minValue="2" maxValue="13"/>
    </cacheField>
    <cacheField name="24/06/2021" numFmtId="0">
      <sharedItems containsSemiMixedTypes="0" containsString="0" containsNumber="1" containsInteger="1" minValue="3" maxValue="15"/>
    </cacheField>
    <cacheField name="25/06/2021" numFmtId="0">
      <sharedItems containsSemiMixedTypes="0" containsString="0" containsNumber="1" containsInteger="1" minValue="2" maxValue="12"/>
    </cacheField>
    <cacheField name="26/06/2021" numFmtId="0">
      <sharedItems containsSemiMixedTypes="0" containsString="0" containsNumber="1" containsInteger="1" minValue="0" maxValue="6"/>
    </cacheField>
    <cacheField name="27/06/2021" numFmtId="0">
      <sharedItems containsSemiMixedTypes="0" containsString="0" containsNumber="1" containsInteger="1" minValue="0" maxValue="0"/>
    </cacheField>
    <cacheField name="28/06/2021" numFmtId="0">
      <sharedItems containsSemiMixedTypes="0" containsString="0" containsNumber="1" containsInteger="1" minValue="2" maxValue="14"/>
    </cacheField>
    <cacheField name="29/06/2021" numFmtId="0">
      <sharedItems containsSemiMixedTypes="0" containsString="0" containsNumber="1" containsInteger="1" minValue="2" maxValue="14"/>
    </cacheField>
    <cacheField name="30/06/2021" numFmtId="0">
      <sharedItems containsSemiMixedTypes="0" containsString="0" containsNumber="1" containsInteger="1" minValue="2" maxValue="13"/>
    </cacheField>
    <cacheField name="1/07/2021" numFmtId="0">
      <sharedItems containsSemiMixedTypes="0" containsString="0" containsNumber="1" containsInteger="1" minValue="2" maxValue="12"/>
    </cacheField>
    <cacheField name="2/07/2021" numFmtId="0">
      <sharedItems containsSemiMixedTypes="0" containsString="0" containsNumber="1" containsInteger="1" minValue="2" maxValue="13"/>
    </cacheField>
    <cacheField name="3/07/2021" numFmtId="0">
      <sharedItems containsSemiMixedTypes="0" containsString="0" containsNumber="1" containsInteger="1" minValue="0" maxValue="6"/>
    </cacheField>
    <cacheField name="4/07/2021" numFmtId="0">
      <sharedItems containsSemiMixedTypes="0" containsString="0" containsNumber="1" containsInteger="1" minValue="0" maxValue="0"/>
    </cacheField>
    <cacheField name="5/07/2021" numFmtId="0">
      <sharedItems containsSemiMixedTypes="0" containsString="0" containsNumber="1" containsInteger="1" minValue="2" maxValue="13"/>
    </cacheField>
    <cacheField name="6/07/2021" numFmtId="0">
      <sharedItems containsSemiMixedTypes="0" containsString="0" containsNumber="1" containsInteger="1" minValue="2" maxValue="12"/>
    </cacheField>
    <cacheField name="7/07/2021" numFmtId="0">
      <sharedItems containsSemiMixedTypes="0" containsString="0" containsNumber="1" containsInteger="1" minValue="3" maxValue="13"/>
    </cacheField>
    <cacheField name="8/07/2021" numFmtId="0">
      <sharedItems containsSemiMixedTypes="0" containsString="0" containsNumber="1" containsInteger="1" minValue="2" maxValue="15"/>
    </cacheField>
    <cacheField name="9/07/2021" numFmtId="0">
      <sharedItems containsSemiMixedTypes="0" containsString="0" containsNumber="1" containsInteger="1" minValue="3" maxValue="14"/>
    </cacheField>
    <cacheField name="10/07/2021" numFmtId="0">
      <sharedItems containsSemiMixedTypes="0" containsString="0" containsNumber="1" containsInteger="1" minValue="0" maxValue="6"/>
    </cacheField>
    <cacheField name="11/07/2021" numFmtId="0">
      <sharedItems containsSemiMixedTypes="0" containsString="0" containsNumber="1" containsInteger="1" minValue="0" maxValue="0"/>
    </cacheField>
    <cacheField name="Total" numFmtId="0">
      <sharedItems containsSemiMixedTypes="0" containsString="0" containsNumber="1" containsInteger="1" minValue="75" maxValue="204"/>
    </cacheField>
    <cacheField name="Monday" numFmtId="0">
      <sharedItems containsSemiMixedTypes="0" containsString="0" containsNumber="1" minValue="3.5" maxValue="10.5"/>
    </cacheField>
    <cacheField name="Tuesday" numFmtId="0">
      <sharedItems containsSemiMixedTypes="0" containsString="0" containsNumber="1" minValue="2.5" maxValue="11.25"/>
    </cacheField>
    <cacheField name="Wednesday" numFmtId="0">
      <sharedItems containsSemiMixedTypes="0" containsString="0" containsNumber="1" minValue="3" maxValue="10.75"/>
    </cacheField>
    <cacheField name="Thursday" numFmtId="0">
      <sharedItems containsSemiMixedTypes="0" containsString="0" containsNumber="1" minValue="3" maxValue="11.25"/>
    </cacheField>
    <cacheField name="Friday" numFmtId="0">
      <sharedItems containsSemiMixedTypes="0" containsString="0" containsNumber="1" minValue="3.25" maxValue="10.75"/>
    </cacheField>
    <cacheField name="Saturday" numFmtId="0">
      <sharedItems containsSemiMixedTypes="0" containsString="0" containsNumber="1" minValue="0" maxValue="6"/>
    </cacheField>
    <cacheField name="Sunday" numFmtId="0">
      <sharedItems containsSemiMixedTypes="0" containsString="0" containsNumber="1" containsInteger="1" minValue="0" maxValue="0"/>
    </cacheField>
    <cacheField name="StoreType" numFmtId="0">
      <sharedItems count="3">
        <s v="Countdown"/>
        <s v="FreshChoice"/>
        <s v="SuperValue"/>
      </sharedItems>
    </cacheField>
    <cacheField name="Weekday Average" numFmtId="0">
      <sharedItems containsSemiMixedTypes="0" containsString="0" containsNumber="1" minValue="3.75" maxValue="9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GPC" refreshedDate="44463.618162268518" createdVersion="6" refreshedVersion="6" minRefreshableVersion="3" recordCount="65" xr:uid="{53C30C6E-ED2D-4B80-8376-758FBAFA4517}">
  <cacheSource type="worksheet">
    <worksheetSource ref="A1:AO66" sheet="WoolworthsDemands"/>
  </cacheSource>
  <cacheFields count="41">
    <cacheField name="Store" numFmtId="0">
      <sharedItems count="65">
        <s v="Countdown Airport"/>
        <s v="Countdown Auckland City"/>
        <s v="Countdown Aviemore Drive"/>
        <s v="Countdown Birkenhead"/>
        <s v="Countdown Blockhouse Bay"/>
        <s v="Countdown Botany Downs"/>
        <s v="Countdown Browns Bay"/>
        <s v="Countdown Glenfield"/>
        <s v="Countdown Greenlane"/>
        <s v="Countdown Grey Lynn"/>
        <s v="Countdown Grey Lynn Central"/>
        <s v="Countdown Hauraki Corner"/>
        <s v="Countdown Henderson"/>
        <s v="Countdown Highland Park"/>
        <s v="Countdown Hobsonville"/>
        <s v="Countdown Howick"/>
        <s v="Countdown Kelston"/>
        <s v="Countdown Lincoln Road"/>
        <s v="Countdown Lynfield"/>
        <s v="Countdown Lynmall"/>
        <s v="Countdown Mairangi Bay"/>
        <s v="Countdown Mangere East"/>
        <s v="Countdown Mangere Mall"/>
        <s v="Countdown Manukau"/>
        <s v="Countdown Manukau Mall"/>
        <s v="Countdown Manurewa"/>
        <s v="Countdown Meadowbank"/>
        <s v="Countdown Meadowlands"/>
        <s v="Countdown Metro Albert Street"/>
        <s v="Countdown Metro Halsey Street"/>
        <s v="Countdown Milford"/>
        <s v="Countdown Mt Eden"/>
        <s v="Countdown Mt Roskill"/>
        <s v="Countdown Mt Wellington"/>
        <s v="Countdown Newmarket"/>
        <s v="Countdown Northcote"/>
        <s v="Countdown Northwest"/>
        <s v="Countdown Onehunga"/>
        <s v="Countdown Pakuranga"/>
        <s v="Countdown Papakura"/>
        <s v="Countdown Papatoetoe"/>
        <s v="Countdown Ponsonby"/>
        <s v="Countdown Pt Chevalier"/>
        <s v="Countdown Roselands"/>
        <s v="Countdown St Johns"/>
        <s v="Countdown St Lukes"/>
        <s v="Countdown Sunnynook"/>
        <s v="Countdown Sylvia Park"/>
        <s v="Countdown Takanini"/>
        <s v="Countdown Takapuna"/>
        <s v="Countdown Te Atatu"/>
        <s v="Countdown Te Atatu South"/>
        <s v="Countdown Three Kings"/>
        <s v="Countdown Victoria Street West"/>
        <s v="Countdown Westgate"/>
        <s v="FreshChoice Glen Eden"/>
        <s v="FreshChoice Half Moon Bay"/>
        <s v="FreshChoice Mangere Bridge"/>
        <s v="FreshChoice Otahuhu"/>
        <s v="FreshChoice Ranui"/>
        <s v="SuperValue Avondale"/>
        <s v="SuperValue Flatbush"/>
        <s v="SuperValue Palomino"/>
        <s v="SuperValue Papakura"/>
        <s v="SuperValue Titirangi"/>
      </sharedItems>
    </cacheField>
    <cacheField name="14/06/2021" numFmtId="0">
      <sharedItems containsSemiMixedTypes="0" containsString="0" containsNumber="1" containsInteger="1" minValue="3" maxValue="15"/>
    </cacheField>
    <cacheField name="15/06/2021" numFmtId="0">
      <sharedItems containsSemiMixedTypes="0" containsString="0" containsNumber="1" containsInteger="1" minValue="2" maxValue="12"/>
    </cacheField>
    <cacheField name="16/06/2021" numFmtId="0">
      <sharedItems containsSemiMixedTypes="0" containsString="0" containsNumber="1" containsInteger="1" minValue="2" maxValue="13"/>
    </cacheField>
    <cacheField name="17/06/2021" numFmtId="0">
      <sharedItems containsSemiMixedTypes="0" containsString="0" containsNumber="1" containsInteger="1" minValue="2" maxValue="14"/>
    </cacheField>
    <cacheField name="18/06/2021" numFmtId="0">
      <sharedItems containsSemiMixedTypes="0" containsString="0" containsNumber="1" containsInteger="1" minValue="2" maxValue="15"/>
    </cacheField>
    <cacheField name="19/06/2021" numFmtId="0">
      <sharedItems containsSemiMixedTypes="0" containsString="0" containsNumber="1" containsInteger="1" minValue="0" maxValue="6"/>
    </cacheField>
    <cacheField name="20/06/2021" numFmtId="0">
      <sharedItems containsSemiMixedTypes="0" containsString="0" containsNumber="1" containsInteger="1" minValue="0" maxValue="0"/>
    </cacheField>
    <cacheField name="21/06/2021" numFmtId="0">
      <sharedItems containsSemiMixedTypes="0" containsString="0" containsNumber="1" containsInteger="1" minValue="3" maxValue="13"/>
    </cacheField>
    <cacheField name="22/06/2021" numFmtId="0">
      <sharedItems containsSemiMixedTypes="0" containsString="0" containsNumber="1" containsInteger="1" minValue="2" maxValue="15"/>
    </cacheField>
    <cacheField name="23/06/2021" numFmtId="0">
      <sharedItems containsSemiMixedTypes="0" containsString="0" containsNumber="1" containsInteger="1" minValue="2" maxValue="13"/>
    </cacheField>
    <cacheField name="24/06/2021" numFmtId="0">
      <sharedItems containsSemiMixedTypes="0" containsString="0" containsNumber="1" containsInteger="1" minValue="3" maxValue="15"/>
    </cacheField>
    <cacheField name="25/06/2021" numFmtId="0">
      <sharedItems containsSemiMixedTypes="0" containsString="0" containsNumber="1" containsInteger="1" minValue="2" maxValue="12"/>
    </cacheField>
    <cacheField name="26/06/2021" numFmtId="0">
      <sharedItems containsSemiMixedTypes="0" containsString="0" containsNumber="1" containsInteger="1" minValue="0" maxValue="6"/>
    </cacheField>
    <cacheField name="27/06/2021" numFmtId="0">
      <sharedItems containsSemiMixedTypes="0" containsString="0" containsNumber="1" containsInteger="1" minValue="0" maxValue="0"/>
    </cacheField>
    <cacheField name="28/06/2021" numFmtId="0">
      <sharedItems containsSemiMixedTypes="0" containsString="0" containsNumber="1" containsInteger="1" minValue="2" maxValue="14"/>
    </cacheField>
    <cacheField name="29/06/2021" numFmtId="0">
      <sharedItems containsSemiMixedTypes="0" containsString="0" containsNumber="1" containsInteger="1" minValue="2" maxValue="14"/>
    </cacheField>
    <cacheField name="30/06/2021" numFmtId="0">
      <sharedItems containsSemiMixedTypes="0" containsString="0" containsNumber="1" containsInteger="1" minValue="2" maxValue="13"/>
    </cacheField>
    <cacheField name="1/07/2021" numFmtId="0">
      <sharedItems containsSemiMixedTypes="0" containsString="0" containsNumber="1" containsInteger="1" minValue="2" maxValue="12"/>
    </cacheField>
    <cacheField name="2/07/2021" numFmtId="0">
      <sharedItems containsSemiMixedTypes="0" containsString="0" containsNumber="1" containsInteger="1" minValue="2" maxValue="13"/>
    </cacheField>
    <cacheField name="3/07/2021" numFmtId="0">
      <sharedItems containsSemiMixedTypes="0" containsString="0" containsNumber="1" containsInteger="1" minValue="0" maxValue="6"/>
    </cacheField>
    <cacheField name="4/07/2021" numFmtId="0">
      <sharedItems containsSemiMixedTypes="0" containsString="0" containsNumber="1" containsInteger="1" minValue="0" maxValue="0"/>
    </cacheField>
    <cacheField name="5/07/2021" numFmtId="0">
      <sharedItems containsSemiMixedTypes="0" containsString="0" containsNumber="1" containsInteger="1" minValue="2" maxValue="13"/>
    </cacheField>
    <cacheField name="6/07/2021" numFmtId="0">
      <sharedItems containsSemiMixedTypes="0" containsString="0" containsNumber="1" containsInteger="1" minValue="2" maxValue="12"/>
    </cacheField>
    <cacheField name="7/07/2021" numFmtId="0">
      <sharedItems containsSemiMixedTypes="0" containsString="0" containsNumber="1" containsInteger="1" minValue="3" maxValue="13"/>
    </cacheField>
    <cacheField name="8/07/2021" numFmtId="0">
      <sharedItems containsSemiMixedTypes="0" containsString="0" containsNumber="1" containsInteger="1" minValue="2" maxValue="15"/>
    </cacheField>
    <cacheField name="9/07/2021" numFmtId="0">
      <sharedItems containsSemiMixedTypes="0" containsString="0" containsNumber="1" containsInteger="1" minValue="3" maxValue="14"/>
    </cacheField>
    <cacheField name="10/07/2021" numFmtId="0">
      <sharedItems containsSemiMixedTypes="0" containsString="0" containsNumber="1" containsInteger="1" minValue="0" maxValue="6"/>
    </cacheField>
    <cacheField name="11/07/2021" numFmtId="0">
      <sharedItems containsSemiMixedTypes="0" containsString="0" containsNumber="1" containsInteger="1" minValue="0" maxValue="0"/>
    </cacheField>
    <cacheField name="Total" numFmtId="0">
      <sharedItems containsSemiMixedTypes="0" containsString="0" containsNumber="1" containsInteger="1" minValue="75" maxValue="204"/>
    </cacheField>
    <cacheField name="Monday" numFmtId="0">
      <sharedItems containsSemiMixedTypes="0" containsString="0" containsNumber="1" minValue="3.5" maxValue="10.5"/>
    </cacheField>
    <cacheField name="Tuesday" numFmtId="0">
      <sharedItems containsSemiMixedTypes="0" containsString="0" containsNumber="1" minValue="2.5" maxValue="11.25"/>
    </cacheField>
    <cacheField name="Wednesday" numFmtId="0">
      <sharedItems containsSemiMixedTypes="0" containsString="0" containsNumber="1" minValue="3" maxValue="10.75"/>
    </cacheField>
    <cacheField name="Thursday" numFmtId="0">
      <sharedItems containsSemiMixedTypes="0" containsString="0" containsNumber="1" minValue="3" maxValue="11.25"/>
    </cacheField>
    <cacheField name="Friday" numFmtId="0">
      <sharedItems containsSemiMixedTypes="0" containsString="0" containsNumber="1" minValue="3.25" maxValue="10.75"/>
    </cacheField>
    <cacheField name="Saturday" numFmtId="0">
      <sharedItems containsSemiMixedTypes="0" containsString="0" containsNumber="1" minValue="0" maxValue="6"/>
    </cacheField>
    <cacheField name="Sunday" numFmtId="0">
      <sharedItems containsSemiMixedTypes="0" containsString="0" containsNumber="1" containsInteger="1" minValue="0" maxValue="0"/>
    </cacheField>
    <cacheField name="StoreType" numFmtId="0">
      <sharedItems count="3">
        <s v="Countdown"/>
        <s v="FreshChoice"/>
        <s v="SuperValue"/>
      </sharedItems>
    </cacheField>
    <cacheField name="Weekday Average" numFmtId="0">
      <sharedItems containsSemiMixedTypes="0" containsString="0" containsNumber="1" minValue="3.75" maxValue="9.4"/>
    </cacheField>
    <cacheField name="Max Value" numFmtId="0">
      <sharedItems containsSemiMixedTypes="0" containsString="0" containsNumber="1" containsInteger="1" minValue="5" maxValue="15"/>
    </cacheField>
    <cacheField name="Average of Weekday Max" numFmtId="0">
      <sharedItems containsSemiMixedTypes="0" containsString="0" containsNumber="1" minValue="4.75" maxValue="12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GPC" refreshedDate="44463.620732291667" createdVersion="6" refreshedVersion="6" minRefreshableVersion="3" recordCount="65" xr:uid="{1BB70A75-3E93-4AA6-9823-7EFD1D13314A}">
  <cacheSource type="worksheet">
    <worksheetSource ref="A1:AP66" sheet="WoolworthsDemands"/>
  </cacheSource>
  <cacheFields count="42">
    <cacheField name="Store" numFmtId="0">
      <sharedItems count="65">
        <s v="Countdown Airport"/>
        <s v="Countdown Auckland City"/>
        <s v="Countdown Aviemore Drive"/>
        <s v="Countdown Birkenhead"/>
        <s v="Countdown Blockhouse Bay"/>
        <s v="Countdown Botany Downs"/>
        <s v="Countdown Browns Bay"/>
        <s v="Countdown Glenfield"/>
        <s v="Countdown Greenlane"/>
        <s v="Countdown Grey Lynn"/>
        <s v="Countdown Grey Lynn Central"/>
        <s v="Countdown Hauraki Corner"/>
        <s v="Countdown Henderson"/>
        <s v="Countdown Highland Park"/>
        <s v="Countdown Hobsonville"/>
        <s v="Countdown Howick"/>
        <s v="Countdown Kelston"/>
        <s v="Countdown Lincoln Road"/>
        <s v="Countdown Lynfield"/>
        <s v="Countdown Lynmall"/>
        <s v="Countdown Mairangi Bay"/>
        <s v="Countdown Mangere East"/>
        <s v="Countdown Mangere Mall"/>
        <s v="Countdown Manukau"/>
        <s v="Countdown Manukau Mall"/>
        <s v="Countdown Manurewa"/>
        <s v="Countdown Meadowbank"/>
        <s v="Countdown Meadowlands"/>
        <s v="Countdown Metro Albert Street"/>
        <s v="Countdown Metro Halsey Street"/>
        <s v="Countdown Milford"/>
        <s v="Countdown Mt Eden"/>
        <s v="Countdown Mt Roskill"/>
        <s v="Countdown Mt Wellington"/>
        <s v="Countdown Newmarket"/>
        <s v="Countdown Northcote"/>
        <s v="Countdown Northwest"/>
        <s v="Countdown Onehunga"/>
        <s v="Countdown Pakuranga"/>
        <s v="Countdown Papakura"/>
        <s v="Countdown Papatoetoe"/>
        <s v="Countdown Ponsonby"/>
        <s v="Countdown Pt Chevalier"/>
        <s v="Countdown Roselands"/>
        <s v="Countdown St Johns"/>
        <s v="Countdown St Lukes"/>
        <s v="Countdown Sunnynook"/>
        <s v="Countdown Sylvia Park"/>
        <s v="Countdown Takanini"/>
        <s v="Countdown Takapuna"/>
        <s v="Countdown Te Atatu"/>
        <s v="Countdown Te Atatu South"/>
        <s v="Countdown Three Kings"/>
        <s v="Countdown Victoria Street West"/>
        <s v="Countdown Westgate"/>
        <s v="FreshChoice Glen Eden"/>
        <s v="FreshChoice Half Moon Bay"/>
        <s v="FreshChoice Mangere Bridge"/>
        <s v="FreshChoice Otahuhu"/>
        <s v="FreshChoice Ranui"/>
        <s v="SuperValue Avondale"/>
        <s v="SuperValue Flatbush"/>
        <s v="SuperValue Palomino"/>
        <s v="SuperValue Papakura"/>
        <s v="SuperValue Titirangi"/>
      </sharedItems>
    </cacheField>
    <cacheField name="14/06/2021" numFmtId="0">
      <sharedItems containsSemiMixedTypes="0" containsString="0" containsNumber="1" containsInteger="1" minValue="3" maxValue="15"/>
    </cacheField>
    <cacheField name="15/06/2021" numFmtId="0">
      <sharedItems containsSemiMixedTypes="0" containsString="0" containsNumber="1" containsInteger="1" minValue="2" maxValue="12"/>
    </cacheField>
    <cacheField name="16/06/2021" numFmtId="0">
      <sharedItems containsSemiMixedTypes="0" containsString="0" containsNumber="1" containsInteger="1" minValue="2" maxValue="13"/>
    </cacheField>
    <cacheField name="17/06/2021" numFmtId="0">
      <sharedItems containsSemiMixedTypes="0" containsString="0" containsNumber="1" containsInteger="1" minValue="2" maxValue="14"/>
    </cacheField>
    <cacheField name="18/06/2021" numFmtId="0">
      <sharedItems containsSemiMixedTypes="0" containsString="0" containsNumber="1" containsInteger="1" minValue="2" maxValue="15"/>
    </cacheField>
    <cacheField name="19/06/2021" numFmtId="0">
      <sharedItems containsSemiMixedTypes="0" containsString="0" containsNumber="1" containsInteger="1" minValue="0" maxValue="6"/>
    </cacheField>
    <cacheField name="20/06/2021" numFmtId="0">
      <sharedItems containsSemiMixedTypes="0" containsString="0" containsNumber="1" containsInteger="1" minValue="0" maxValue="0"/>
    </cacheField>
    <cacheField name="21/06/2021" numFmtId="0">
      <sharedItems containsSemiMixedTypes="0" containsString="0" containsNumber="1" containsInteger="1" minValue="3" maxValue="13"/>
    </cacheField>
    <cacheField name="22/06/2021" numFmtId="0">
      <sharedItems containsSemiMixedTypes="0" containsString="0" containsNumber="1" containsInteger="1" minValue="2" maxValue="15"/>
    </cacheField>
    <cacheField name="23/06/2021" numFmtId="0">
      <sharedItems containsSemiMixedTypes="0" containsString="0" containsNumber="1" containsInteger="1" minValue="2" maxValue="13"/>
    </cacheField>
    <cacheField name="24/06/2021" numFmtId="0">
      <sharedItems containsSemiMixedTypes="0" containsString="0" containsNumber="1" containsInteger="1" minValue="3" maxValue="15"/>
    </cacheField>
    <cacheField name="25/06/2021" numFmtId="0">
      <sharedItems containsSemiMixedTypes="0" containsString="0" containsNumber="1" containsInteger="1" minValue="2" maxValue="12"/>
    </cacheField>
    <cacheField name="26/06/2021" numFmtId="0">
      <sharedItems containsSemiMixedTypes="0" containsString="0" containsNumber="1" containsInteger="1" minValue="0" maxValue="6"/>
    </cacheField>
    <cacheField name="27/06/2021" numFmtId="0">
      <sharedItems containsSemiMixedTypes="0" containsString="0" containsNumber="1" containsInteger="1" minValue="0" maxValue="0"/>
    </cacheField>
    <cacheField name="28/06/2021" numFmtId="0">
      <sharedItems containsSemiMixedTypes="0" containsString="0" containsNumber="1" containsInteger="1" minValue="2" maxValue="14"/>
    </cacheField>
    <cacheField name="29/06/2021" numFmtId="0">
      <sharedItems containsSemiMixedTypes="0" containsString="0" containsNumber="1" containsInteger="1" minValue="2" maxValue="14"/>
    </cacheField>
    <cacheField name="30/06/2021" numFmtId="0">
      <sharedItems containsSemiMixedTypes="0" containsString="0" containsNumber="1" containsInteger="1" minValue="2" maxValue="13"/>
    </cacheField>
    <cacheField name="1/07/2021" numFmtId="0">
      <sharedItems containsSemiMixedTypes="0" containsString="0" containsNumber="1" containsInteger="1" minValue="2" maxValue="12"/>
    </cacheField>
    <cacheField name="2/07/2021" numFmtId="0">
      <sharedItems containsSemiMixedTypes="0" containsString="0" containsNumber="1" containsInteger="1" minValue="2" maxValue="13"/>
    </cacheField>
    <cacheField name="3/07/2021" numFmtId="0">
      <sharedItems containsSemiMixedTypes="0" containsString="0" containsNumber="1" containsInteger="1" minValue="0" maxValue="6"/>
    </cacheField>
    <cacheField name="4/07/2021" numFmtId="0">
      <sharedItems containsSemiMixedTypes="0" containsString="0" containsNumber="1" containsInteger="1" minValue="0" maxValue="0"/>
    </cacheField>
    <cacheField name="5/07/2021" numFmtId="0">
      <sharedItems containsSemiMixedTypes="0" containsString="0" containsNumber="1" containsInteger="1" minValue="2" maxValue="13"/>
    </cacheField>
    <cacheField name="6/07/2021" numFmtId="0">
      <sharedItems containsSemiMixedTypes="0" containsString="0" containsNumber="1" containsInteger="1" minValue="2" maxValue="12"/>
    </cacheField>
    <cacheField name="7/07/2021" numFmtId="0">
      <sharedItems containsSemiMixedTypes="0" containsString="0" containsNumber="1" containsInteger="1" minValue="3" maxValue="13"/>
    </cacheField>
    <cacheField name="8/07/2021" numFmtId="0">
      <sharedItems containsSemiMixedTypes="0" containsString="0" containsNumber="1" containsInteger="1" minValue="2" maxValue="15"/>
    </cacheField>
    <cacheField name="9/07/2021" numFmtId="0">
      <sharedItems containsSemiMixedTypes="0" containsString="0" containsNumber="1" containsInteger="1" minValue="3" maxValue="14"/>
    </cacheField>
    <cacheField name="10/07/2021" numFmtId="0">
      <sharedItems containsSemiMixedTypes="0" containsString="0" containsNumber="1" containsInteger="1" minValue="0" maxValue="6"/>
    </cacheField>
    <cacheField name="11/07/2021" numFmtId="0">
      <sharedItems containsSemiMixedTypes="0" containsString="0" containsNumber="1" containsInteger="1" minValue="0" maxValue="0"/>
    </cacheField>
    <cacheField name="Total" numFmtId="0">
      <sharedItems containsSemiMixedTypes="0" containsString="0" containsNumber="1" containsInteger="1" minValue="75" maxValue="204"/>
    </cacheField>
    <cacheField name="Monday" numFmtId="0">
      <sharedItems containsSemiMixedTypes="0" containsString="0" containsNumber="1" minValue="3.5" maxValue="10.5"/>
    </cacheField>
    <cacheField name="Tuesday" numFmtId="0">
      <sharedItems containsSemiMixedTypes="0" containsString="0" containsNumber="1" minValue="2.5" maxValue="11.25"/>
    </cacheField>
    <cacheField name="Wednesday" numFmtId="0">
      <sharedItems containsSemiMixedTypes="0" containsString="0" containsNumber="1" minValue="3" maxValue="10.75"/>
    </cacheField>
    <cacheField name="Thursday" numFmtId="0">
      <sharedItems containsSemiMixedTypes="0" containsString="0" containsNumber="1" minValue="3" maxValue="11.25"/>
    </cacheField>
    <cacheField name="Friday" numFmtId="0">
      <sharedItems containsSemiMixedTypes="0" containsString="0" containsNumber="1" minValue="3.25" maxValue="10.75"/>
    </cacheField>
    <cacheField name="Saturday" numFmtId="0">
      <sharedItems containsSemiMixedTypes="0" containsString="0" containsNumber="1" minValue="0" maxValue="6"/>
    </cacheField>
    <cacheField name="Sunday" numFmtId="0">
      <sharedItems containsSemiMixedTypes="0" containsString="0" containsNumber="1" containsInteger="1" minValue="0" maxValue="0"/>
    </cacheField>
    <cacheField name="StoreType" numFmtId="0">
      <sharedItems count="3">
        <s v="Countdown"/>
        <s v="FreshChoice"/>
        <s v="SuperValue"/>
      </sharedItems>
    </cacheField>
    <cacheField name="Weekday Average" numFmtId="0">
      <sharedItems containsSemiMixedTypes="0" containsString="0" containsNumber="1" minValue="3.75" maxValue="9.4"/>
    </cacheField>
    <cacheField name="Max Value" numFmtId="0">
      <sharedItems containsSemiMixedTypes="0" containsString="0" containsNumber="1" containsInteger="1" minValue="5" maxValue="15"/>
    </cacheField>
    <cacheField name="Average of Weekday Max" numFmtId="0">
      <sharedItems containsSemiMixedTypes="0" containsString="0" containsNumber="1" minValue="4.75" maxValue="12.5"/>
    </cacheField>
    <cacheField name="Max of Weekday Average" numFmtId="0">
      <sharedItems containsSemiMixedTypes="0" containsString="0" containsNumber="1" minValue="4.2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n v="5"/>
    <n v="6"/>
    <n v="10"/>
    <n v="11"/>
    <n v="7"/>
    <n v="5"/>
    <n v="0"/>
    <n v="7"/>
    <n v="8"/>
    <n v="5"/>
    <n v="8"/>
    <n v="3"/>
    <n v="5"/>
    <n v="0"/>
    <n v="6"/>
    <n v="10"/>
    <n v="5"/>
    <n v="6"/>
    <n v="7"/>
    <n v="6"/>
    <n v="0"/>
    <n v="8"/>
    <n v="6"/>
    <n v="8"/>
    <n v="9"/>
    <n v="7"/>
    <n v="3"/>
    <n v="0"/>
    <n v="161"/>
    <n v="6.5"/>
    <n v="7.5"/>
    <n v="7"/>
    <n v="8.5"/>
    <n v="6"/>
    <n v="4.75"/>
    <n v="0"/>
    <x v="0"/>
    <n v="7.1"/>
  </r>
  <r>
    <x v="1"/>
    <n v="6"/>
    <n v="8"/>
    <n v="5"/>
    <n v="8"/>
    <n v="8"/>
    <n v="2"/>
    <n v="0"/>
    <n v="8"/>
    <n v="8"/>
    <n v="13"/>
    <n v="11"/>
    <n v="8"/>
    <n v="4"/>
    <n v="0"/>
    <n v="6"/>
    <n v="8"/>
    <n v="9"/>
    <n v="10"/>
    <n v="6"/>
    <n v="3"/>
    <n v="0"/>
    <n v="11"/>
    <n v="7"/>
    <n v="7"/>
    <n v="9"/>
    <n v="5"/>
    <n v="5"/>
    <n v="0"/>
    <n v="175"/>
    <n v="7.75"/>
    <n v="7.75"/>
    <n v="8.5"/>
    <n v="9.5"/>
    <n v="6.75"/>
    <n v="3.5"/>
    <n v="0"/>
    <x v="0"/>
    <n v="8.0500000000000007"/>
  </r>
  <r>
    <x v="2"/>
    <n v="9"/>
    <n v="9"/>
    <n v="8"/>
    <n v="7"/>
    <n v="14"/>
    <n v="4"/>
    <n v="0"/>
    <n v="6"/>
    <n v="10"/>
    <n v="6"/>
    <n v="5"/>
    <n v="6"/>
    <n v="4"/>
    <n v="0"/>
    <n v="8"/>
    <n v="8"/>
    <n v="10"/>
    <n v="3"/>
    <n v="10"/>
    <n v="6"/>
    <n v="0"/>
    <n v="7"/>
    <n v="9"/>
    <n v="4"/>
    <n v="6"/>
    <n v="9"/>
    <n v="2"/>
    <n v="0"/>
    <n v="170"/>
    <n v="7.5"/>
    <n v="9"/>
    <n v="7"/>
    <n v="5.25"/>
    <n v="9.75"/>
    <n v="4"/>
    <n v="0"/>
    <x v="0"/>
    <n v="7.7"/>
  </r>
  <r>
    <x v="3"/>
    <n v="9"/>
    <n v="4"/>
    <n v="8"/>
    <n v="10"/>
    <n v="7"/>
    <n v="5"/>
    <n v="0"/>
    <n v="5"/>
    <n v="6"/>
    <n v="12"/>
    <n v="10"/>
    <n v="11"/>
    <n v="2"/>
    <n v="0"/>
    <n v="7"/>
    <n v="5"/>
    <n v="10"/>
    <n v="10"/>
    <n v="7"/>
    <n v="6"/>
    <n v="0"/>
    <n v="9"/>
    <n v="9"/>
    <n v="5"/>
    <n v="4"/>
    <n v="12"/>
    <n v="4"/>
    <n v="0"/>
    <n v="177"/>
    <n v="7.5"/>
    <n v="6"/>
    <n v="8.75"/>
    <n v="8.5"/>
    <n v="9.25"/>
    <n v="4.25"/>
    <n v="0"/>
    <x v="0"/>
    <n v="8"/>
  </r>
  <r>
    <x v="4"/>
    <n v="6"/>
    <n v="8"/>
    <n v="7"/>
    <n v="6"/>
    <n v="6"/>
    <n v="2"/>
    <n v="0"/>
    <n v="9"/>
    <n v="4"/>
    <n v="8"/>
    <n v="10"/>
    <n v="9"/>
    <n v="2"/>
    <n v="0"/>
    <n v="6"/>
    <n v="7"/>
    <n v="9"/>
    <n v="9"/>
    <n v="7"/>
    <n v="3"/>
    <n v="0"/>
    <n v="8"/>
    <n v="8"/>
    <n v="4"/>
    <n v="10"/>
    <n v="3"/>
    <n v="2"/>
    <n v="0"/>
    <n v="153"/>
    <n v="7.25"/>
    <n v="6.75"/>
    <n v="7"/>
    <n v="8.75"/>
    <n v="6.25"/>
    <n v="2.25"/>
    <n v="0"/>
    <x v="0"/>
    <n v="7.2"/>
  </r>
  <r>
    <x v="5"/>
    <n v="9"/>
    <n v="11"/>
    <n v="7"/>
    <n v="11"/>
    <n v="9"/>
    <n v="2"/>
    <n v="0"/>
    <n v="8"/>
    <n v="8"/>
    <n v="10"/>
    <n v="9"/>
    <n v="8"/>
    <n v="4"/>
    <n v="0"/>
    <n v="7"/>
    <n v="7"/>
    <n v="8"/>
    <n v="8"/>
    <n v="6"/>
    <n v="3"/>
    <n v="0"/>
    <n v="11"/>
    <n v="6"/>
    <n v="8"/>
    <n v="9"/>
    <n v="4"/>
    <n v="5"/>
    <n v="0"/>
    <n v="178"/>
    <n v="8.75"/>
    <n v="8"/>
    <n v="8.25"/>
    <n v="9.25"/>
    <n v="6.75"/>
    <n v="3.5"/>
    <n v="0"/>
    <x v="0"/>
    <n v="8.1999999999999993"/>
  </r>
  <r>
    <x v="6"/>
    <n v="14"/>
    <n v="11"/>
    <n v="6"/>
    <n v="8"/>
    <n v="14"/>
    <n v="2"/>
    <n v="0"/>
    <n v="6"/>
    <n v="5"/>
    <n v="10"/>
    <n v="9"/>
    <n v="6"/>
    <n v="4"/>
    <n v="0"/>
    <n v="10"/>
    <n v="3"/>
    <n v="5"/>
    <n v="7"/>
    <n v="12"/>
    <n v="6"/>
    <n v="0"/>
    <n v="9"/>
    <n v="5"/>
    <n v="7"/>
    <n v="7"/>
    <n v="9"/>
    <n v="5"/>
    <n v="0"/>
    <n v="180"/>
    <n v="9.75"/>
    <n v="6"/>
    <n v="7"/>
    <n v="7.75"/>
    <n v="10.25"/>
    <n v="4.25"/>
    <n v="0"/>
    <x v="0"/>
    <n v="8.15"/>
  </r>
  <r>
    <x v="7"/>
    <n v="8"/>
    <n v="4"/>
    <n v="8"/>
    <n v="3"/>
    <n v="4"/>
    <n v="6"/>
    <n v="0"/>
    <n v="10"/>
    <n v="6"/>
    <n v="7"/>
    <n v="8"/>
    <n v="7"/>
    <n v="3"/>
    <n v="0"/>
    <n v="6"/>
    <n v="8"/>
    <n v="10"/>
    <n v="5"/>
    <n v="5"/>
    <n v="6"/>
    <n v="0"/>
    <n v="9"/>
    <n v="9"/>
    <n v="11"/>
    <n v="7"/>
    <n v="6"/>
    <n v="3"/>
    <n v="0"/>
    <n v="159"/>
    <n v="8.25"/>
    <n v="6.75"/>
    <n v="9"/>
    <n v="5.75"/>
    <n v="5.5"/>
    <n v="4.5"/>
    <n v="0"/>
    <x v="0"/>
    <n v="7.05"/>
  </r>
  <r>
    <x v="8"/>
    <n v="10"/>
    <n v="10"/>
    <n v="13"/>
    <n v="7"/>
    <n v="9"/>
    <n v="4"/>
    <n v="0"/>
    <n v="5"/>
    <n v="12"/>
    <n v="8"/>
    <n v="9"/>
    <n v="11"/>
    <n v="4"/>
    <n v="0"/>
    <n v="8"/>
    <n v="12"/>
    <n v="6"/>
    <n v="5"/>
    <n v="10"/>
    <n v="2"/>
    <n v="0"/>
    <n v="8"/>
    <n v="6"/>
    <n v="10"/>
    <n v="3"/>
    <n v="5"/>
    <n v="4"/>
    <n v="0"/>
    <n v="181"/>
    <n v="7.75"/>
    <n v="10"/>
    <n v="9.25"/>
    <n v="6"/>
    <n v="8.75"/>
    <n v="3.5"/>
    <n v="0"/>
    <x v="0"/>
    <n v="8.35"/>
  </r>
  <r>
    <x v="9"/>
    <n v="11"/>
    <n v="9"/>
    <n v="9"/>
    <n v="7"/>
    <n v="5"/>
    <n v="2"/>
    <n v="0"/>
    <n v="7"/>
    <n v="7"/>
    <n v="10"/>
    <n v="4"/>
    <n v="12"/>
    <n v="3"/>
    <n v="0"/>
    <n v="8"/>
    <n v="9"/>
    <n v="13"/>
    <n v="11"/>
    <n v="8"/>
    <n v="2"/>
    <n v="0"/>
    <n v="11"/>
    <n v="6"/>
    <n v="11"/>
    <n v="3"/>
    <n v="11"/>
    <n v="5"/>
    <n v="0"/>
    <n v="184"/>
    <n v="9.25"/>
    <n v="7.75"/>
    <n v="10.75"/>
    <n v="6.25"/>
    <n v="9"/>
    <n v="3"/>
    <n v="0"/>
    <x v="0"/>
    <n v="8.6"/>
  </r>
  <r>
    <x v="10"/>
    <n v="8"/>
    <n v="11"/>
    <n v="3"/>
    <n v="6"/>
    <n v="12"/>
    <n v="6"/>
    <n v="0"/>
    <n v="6"/>
    <n v="5"/>
    <n v="13"/>
    <n v="10"/>
    <n v="9"/>
    <n v="6"/>
    <n v="0"/>
    <n v="5"/>
    <n v="11"/>
    <n v="6"/>
    <n v="11"/>
    <n v="6"/>
    <n v="6"/>
    <n v="0"/>
    <n v="10"/>
    <n v="7"/>
    <n v="11"/>
    <n v="9"/>
    <n v="7"/>
    <n v="4"/>
    <n v="0"/>
    <n v="188"/>
    <n v="7.25"/>
    <n v="8.5"/>
    <n v="8.25"/>
    <n v="9"/>
    <n v="8.5"/>
    <n v="5.5"/>
    <n v="0"/>
    <x v="0"/>
    <n v="8.3000000000000007"/>
  </r>
  <r>
    <x v="11"/>
    <n v="7"/>
    <n v="5"/>
    <n v="8"/>
    <n v="6"/>
    <n v="6"/>
    <n v="2"/>
    <n v="0"/>
    <n v="9"/>
    <n v="13"/>
    <n v="9"/>
    <n v="4"/>
    <n v="9"/>
    <n v="4"/>
    <n v="0"/>
    <n v="5"/>
    <n v="6"/>
    <n v="9"/>
    <n v="6"/>
    <n v="10"/>
    <n v="5"/>
    <n v="0"/>
    <n v="10"/>
    <n v="8"/>
    <n v="6"/>
    <n v="7"/>
    <n v="3"/>
    <n v="6"/>
    <n v="0"/>
    <n v="163"/>
    <n v="7.75"/>
    <n v="8"/>
    <n v="8"/>
    <n v="5.75"/>
    <n v="7"/>
    <n v="4.25"/>
    <n v="0"/>
    <x v="0"/>
    <n v="7.3"/>
  </r>
  <r>
    <x v="12"/>
    <n v="11"/>
    <n v="9"/>
    <n v="5"/>
    <n v="6"/>
    <n v="10"/>
    <n v="5"/>
    <n v="0"/>
    <n v="8"/>
    <n v="5"/>
    <n v="8"/>
    <n v="4"/>
    <n v="8"/>
    <n v="3"/>
    <n v="0"/>
    <n v="12"/>
    <n v="8"/>
    <n v="6"/>
    <n v="8"/>
    <n v="8"/>
    <n v="6"/>
    <n v="0"/>
    <n v="5"/>
    <n v="6"/>
    <n v="8"/>
    <n v="11"/>
    <n v="12"/>
    <n v="3"/>
    <n v="0"/>
    <n v="175"/>
    <n v="9"/>
    <n v="7"/>
    <n v="6.75"/>
    <n v="7.25"/>
    <n v="9.5"/>
    <n v="4.25"/>
    <n v="0"/>
    <x v="0"/>
    <n v="7.9"/>
  </r>
  <r>
    <x v="13"/>
    <n v="5"/>
    <n v="8"/>
    <n v="9"/>
    <n v="8"/>
    <n v="7"/>
    <n v="2"/>
    <n v="0"/>
    <n v="10"/>
    <n v="5"/>
    <n v="7"/>
    <n v="7"/>
    <n v="12"/>
    <n v="4"/>
    <n v="0"/>
    <n v="10"/>
    <n v="6"/>
    <n v="7"/>
    <n v="12"/>
    <n v="8"/>
    <n v="3"/>
    <n v="0"/>
    <n v="4"/>
    <n v="12"/>
    <n v="4"/>
    <n v="7"/>
    <n v="5"/>
    <n v="2"/>
    <n v="0"/>
    <n v="164"/>
    <n v="7.25"/>
    <n v="7.75"/>
    <n v="6.75"/>
    <n v="8.5"/>
    <n v="8"/>
    <n v="2.75"/>
    <n v="0"/>
    <x v="0"/>
    <n v="7.65"/>
  </r>
  <r>
    <x v="14"/>
    <n v="11"/>
    <n v="8"/>
    <n v="8"/>
    <n v="4"/>
    <n v="10"/>
    <n v="6"/>
    <n v="0"/>
    <n v="9"/>
    <n v="9"/>
    <n v="7"/>
    <n v="9"/>
    <n v="7"/>
    <n v="6"/>
    <n v="0"/>
    <n v="9"/>
    <n v="11"/>
    <n v="8"/>
    <n v="12"/>
    <n v="8"/>
    <n v="6"/>
    <n v="0"/>
    <n v="8"/>
    <n v="11"/>
    <n v="8"/>
    <n v="10"/>
    <n v="5"/>
    <n v="6"/>
    <n v="0"/>
    <n v="196"/>
    <n v="9.25"/>
    <n v="9.75"/>
    <n v="7.75"/>
    <n v="8.75"/>
    <n v="7.5"/>
    <n v="6"/>
    <n v="0"/>
    <x v="0"/>
    <n v="8.6"/>
  </r>
  <r>
    <x v="15"/>
    <n v="9"/>
    <n v="10"/>
    <n v="8"/>
    <n v="11"/>
    <n v="13"/>
    <n v="3"/>
    <n v="0"/>
    <n v="9"/>
    <n v="15"/>
    <n v="12"/>
    <n v="8"/>
    <n v="6"/>
    <n v="4"/>
    <n v="0"/>
    <n v="6"/>
    <n v="8"/>
    <n v="5"/>
    <n v="8"/>
    <n v="10"/>
    <n v="5"/>
    <n v="0"/>
    <n v="9"/>
    <n v="6"/>
    <n v="9"/>
    <n v="8"/>
    <n v="9"/>
    <n v="4"/>
    <n v="0"/>
    <n v="195"/>
    <n v="8.25"/>
    <n v="9.75"/>
    <n v="8.5"/>
    <n v="8.75"/>
    <n v="9.5"/>
    <n v="4"/>
    <n v="0"/>
    <x v="0"/>
    <n v="8.9499999999999993"/>
  </r>
  <r>
    <x v="16"/>
    <n v="7"/>
    <n v="9"/>
    <n v="11"/>
    <n v="8"/>
    <n v="10"/>
    <n v="4"/>
    <n v="0"/>
    <n v="5"/>
    <n v="13"/>
    <n v="6"/>
    <n v="12"/>
    <n v="9"/>
    <n v="5"/>
    <n v="0"/>
    <n v="5"/>
    <n v="7"/>
    <n v="6"/>
    <n v="7"/>
    <n v="6"/>
    <n v="5"/>
    <n v="0"/>
    <n v="7"/>
    <n v="9"/>
    <n v="7"/>
    <n v="15"/>
    <n v="4"/>
    <n v="2"/>
    <n v="0"/>
    <n v="179"/>
    <n v="6"/>
    <n v="9.5"/>
    <n v="7.5"/>
    <n v="10.5"/>
    <n v="7.25"/>
    <n v="4"/>
    <n v="0"/>
    <x v="0"/>
    <n v="8.15"/>
  </r>
  <r>
    <x v="17"/>
    <n v="9"/>
    <n v="9"/>
    <n v="10"/>
    <n v="7"/>
    <n v="4"/>
    <n v="4"/>
    <n v="0"/>
    <n v="6"/>
    <n v="11"/>
    <n v="6"/>
    <n v="9"/>
    <n v="10"/>
    <n v="4"/>
    <n v="0"/>
    <n v="5"/>
    <n v="9"/>
    <n v="9"/>
    <n v="7"/>
    <n v="12"/>
    <n v="6"/>
    <n v="0"/>
    <n v="9"/>
    <n v="9"/>
    <n v="7"/>
    <n v="6"/>
    <n v="14"/>
    <n v="4"/>
    <n v="0"/>
    <n v="186"/>
    <n v="7.25"/>
    <n v="9.5"/>
    <n v="8"/>
    <n v="7.25"/>
    <n v="10"/>
    <n v="4.5"/>
    <n v="0"/>
    <x v="0"/>
    <n v="8.4"/>
  </r>
  <r>
    <x v="18"/>
    <n v="12"/>
    <n v="11"/>
    <n v="7"/>
    <n v="9"/>
    <n v="6"/>
    <n v="6"/>
    <n v="0"/>
    <n v="11"/>
    <n v="6"/>
    <n v="4"/>
    <n v="9"/>
    <n v="8"/>
    <n v="4"/>
    <n v="0"/>
    <n v="7"/>
    <n v="6"/>
    <n v="12"/>
    <n v="7"/>
    <n v="9"/>
    <n v="2"/>
    <n v="0"/>
    <n v="6"/>
    <n v="10"/>
    <n v="8"/>
    <n v="7"/>
    <n v="8"/>
    <n v="2"/>
    <n v="0"/>
    <n v="177"/>
    <n v="9"/>
    <n v="8.25"/>
    <n v="7.75"/>
    <n v="8"/>
    <n v="7.75"/>
    <n v="3.5"/>
    <n v="0"/>
    <x v="0"/>
    <n v="8.15"/>
  </r>
  <r>
    <x v="19"/>
    <n v="7"/>
    <n v="7"/>
    <n v="7"/>
    <n v="5"/>
    <n v="5"/>
    <n v="4"/>
    <n v="0"/>
    <n v="6"/>
    <n v="8"/>
    <n v="5"/>
    <n v="9"/>
    <n v="9"/>
    <n v="5"/>
    <n v="0"/>
    <n v="7"/>
    <n v="9"/>
    <n v="8"/>
    <n v="4"/>
    <n v="8"/>
    <n v="5"/>
    <n v="0"/>
    <n v="6"/>
    <n v="7"/>
    <n v="7"/>
    <n v="6"/>
    <n v="9"/>
    <n v="2"/>
    <n v="0"/>
    <n v="155"/>
    <n v="6.5"/>
    <n v="7.75"/>
    <n v="6.75"/>
    <n v="6"/>
    <n v="7.75"/>
    <n v="4"/>
    <n v="0"/>
    <x v="0"/>
    <n v="6.95"/>
  </r>
  <r>
    <x v="20"/>
    <n v="7"/>
    <n v="7"/>
    <n v="4"/>
    <n v="11"/>
    <n v="8"/>
    <n v="2"/>
    <n v="0"/>
    <n v="7"/>
    <n v="9"/>
    <n v="9"/>
    <n v="15"/>
    <n v="10"/>
    <n v="5"/>
    <n v="0"/>
    <n v="9"/>
    <n v="7"/>
    <n v="8"/>
    <n v="10"/>
    <n v="9"/>
    <n v="4"/>
    <n v="0"/>
    <n v="9"/>
    <n v="7"/>
    <n v="9"/>
    <n v="9"/>
    <n v="10"/>
    <n v="3"/>
    <n v="0"/>
    <n v="188"/>
    <n v="8"/>
    <n v="7.5"/>
    <n v="7.5"/>
    <n v="11.25"/>
    <n v="9.25"/>
    <n v="3.5"/>
    <n v="0"/>
    <x v="0"/>
    <n v="8.6999999999999993"/>
  </r>
  <r>
    <x v="21"/>
    <n v="9"/>
    <n v="9"/>
    <n v="7"/>
    <n v="9"/>
    <n v="6"/>
    <n v="4"/>
    <n v="0"/>
    <n v="6"/>
    <n v="6"/>
    <n v="9"/>
    <n v="10"/>
    <n v="8"/>
    <n v="3"/>
    <n v="0"/>
    <n v="12"/>
    <n v="6"/>
    <n v="7"/>
    <n v="7"/>
    <n v="10"/>
    <n v="4"/>
    <n v="0"/>
    <n v="9"/>
    <n v="5"/>
    <n v="6"/>
    <n v="10"/>
    <n v="8"/>
    <n v="3"/>
    <n v="0"/>
    <n v="173"/>
    <n v="9"/>
    <n v="6.5"/>
    <n v="7.25"/>
    <n v="9"/>
    <n v="8"/>
    <n v="3.5"/>
    <n v="0"/>
    <x v="0"/>
    <n v="7.95"/>
  </r>
  <r>
    <x v="22"/>
    <n v="9"/>
    <n v="4"/>
    <n v="4"/>
    <n v="7"/>
    <n v="13"/>
    <n v="2"/>
    <n v="0"/>
    <n v="9"/>
    <n v="7"/>
    <n v="10"/>
    <n v="9"/>
    <n v="5"/>
    <n v="3"/>
    <n v="0"/>
    <n v="3"/>
    <n v="4"/>
    <n v="9"/>
    <n v="7"/>
    <n v="7"/>
    <n v="4"/>
    <n v="0"/>
    <n v="7"/>
    <n v="7"/>
    <n v="9"/>
    <n v="7"/>
    <n v="6"/>
    <n v="6"/>
    <n v="0"/>
    <n v="158"/>
    <n v="7"/>
    <n v="5.5"/>
    <n v="8"/>
    <n v="7.5"/>
    <n v="7.75"/>
    <n v="3.75"/>
    <n v="0"/>
    <x v="0"/>
    <n v="7.15"/>
  </r>
  <r>
    <x v="23"/>
    <n v="8"/>
    <n v="9"/>
    <n v="5"/>
    <n v="8"/>
    <n v="5"/>
    <n v="6"/>
    <n v="0"/>
    <n v="5"/>
    <n v="9"/>
    <n v="9"/>
    <n v="3"/>
    <n v="10"/>
    <n v="6"/>
    <n v="0"/>
    <n v="7"/>
    <n v="8"/>
    <n v="10"/>
    <n v="10"/>
    <n v="8"/>
    <n v="6"/>
    <n v="0"/>
    <n v="5"/>
    <n v="11"/>
    <n v="8"/>
    <n v="5"/>
    <n v="8"/>
    <n v="6"/>
    <n v="0"/>
    <n v="175"/>
    <n v="6.25"/>
    <n v="9.25"/>
    <n v="8"/>
    <n v="6.5"/>
    <n v="7.75"/>
    <n v="6"/>
    <n v="0"/>
    <x v="0"/>
    <n v="7.55"/>
  </r>
  <r>
    <x v="24"/>
    <n v="8"/>
    <n v="10"/>
    <n v="8"/>
    <n v="4"/>
    <n v="8"/>
    <n v="5"/>
    <n v="0"/>
    <n v="8"/>
    <n v="11"/>
    <n v="10"/>
    <n v="8"/>
    <n v="8"/>
    <n v="2"/>
    <n v="0"/>
    <n v="11"/>
    <n v="12"/>
    <n v="12"/>
    <n v="6"/>
    <n v="9"/>
    <n v="3"/>
    <n v="0"/>
    <n v="5"/>
    <n v="7"/>
    <n v="6"/>
    <n v="6"/>
    <n v="10"/>
    <n v="5"/>
    <n v="0"/>
    <n v="182"/>
    <n v="8"/>
    <n v="10"/>
    <n v="9"/>
    <n v="6"/>
    <n v="8.75"/>
    <n v="3.75"/>
    <n v="0"/>
    <x v="0"/>
    <n v="8.35"/>
  </r>
  <r>
    <x v="25"/>
    <n v="6"/>
    <n v="8"/>
    <n v="7"/>
    <n v="8"/>
    <n v="11"/>
    <n v="4"/>
    <n v="0"/>
    <n v="8"/>
    <n v="5"/>
    <n v="7"/>
    <n v="11"/>
    <n v="12"/>
    <n v="2"/>
    <n v="0"/>
    <n v="8"/>
    <n v="9"/>
    <n v="5"/>
    <n v="8"/>
    <n v="8"/>
    <n v="6"/>
    <n v="0"/>
    <n v="9"/>
    <n v="8"/>
    <n v="10"/>
    <n v="7"/>
    <n v="6"/>
    <n v="2"/>
    <n v="0"/>
    <n v="175"/>
    <n v="7.75"/>
    <n v="7.5"/>
    <n v="7.25"/>
    <n v="8.5"/>
    <n v="9.25"/>
    <n v="3.5"/>
    <n v="0"/>
    <x v="0"/>
    <n v="8.0500000000000007"/>
  </r>
  <r>
    <x v="26"/>
    <n v="11"/>
    <n v="4"/>
    <n v="8"/>
    <n v="12"/>
    <n v="7"/>
    <n v="3"/>
    <n v="0"/>
    <n v="7"/>
    <n v="7"/>
    <n v="8"/>
    <n v="7"/>
    <n v="9"/>
    <n v="5"/>
    <n v="0"/>
    <n v="11"/>
    <n v="5"/>
    <n v="6"/>
    <n v="8"/>
    <n v="10"/>
    <n v="4"/>
    <n v="0"/>
    <n v="11"/>
    <n v="6"/>
    <n v="10"/>
    <n v="4"/>
    <n v="9"/>
    <n v="5"/>
    <n v="0"/>
    <n v="177"/>
    <n v="10"/>
    <n v="5.5"/>
    <n v="8"/>
    <n v="7.75"/>
    <n v="8.75"/>
    <n v="4.25"/>
    <n v="0"/>
    <x v="0"/>
    <n v="8"/>
  </r>
  <r>
    <x v="27"/>
    <n v="6"/>
    <n v="9"/>
    <n v="12"/>
    <n v="6"/>
    <n v="11"/>
    <n v="3"/>
    <n v="0"/>
    <n v="10"/>
    <n v="10"/>
    <n v="9"/>
    <n v="8"/>
    <n v="6"/>
    <n v="3"/>
    <n v="0"/>
    <n v="8"/>
    <n v="10"/>
    <n v="5"/>
    <n v="11"/>
    <n v="7"/>
    <n v="2"/>
    <n v="0"/>
    <n v="9"/>
    <n v="8"/>
    <n v="5"/>
    <n v="5"/>
    <n v="8"/>
    <n v="4"/>
    <n v="0"/>
    <n v="175"/>
    <n v="8.25"/>
    <n v="9.25"/>
    <n v="7.75"/>
    <n v="7.5"/>
    <n v="8"/>
    <n v="3"/>
    <n v="0"/>
    <x v="0"/>
    <n v="8.15"/>
  </r>
  <r>
    <x v="28"/>
    <n v="6"/>
    <n v="5"/>
    <n v="7"/>
    <n v="5"/>
    <n v="2"/>
    <n v="0"/>
    <n v="0"/>
    <n v="5"/>
    <n v="5"/>
    <n v="3"/>
    <n v="3"/>
    <n v="3"/>
    <n v="0"/>
    <n v="0"/>
    <n v="3"/>
    <n v="6"/>
    <n v="6"/>
    <n v="4"/>
    <n v="3"/>
    <n v="0"/>
    <n v="0"/>
    <n v="4"/>
    <n v="2"/>
    <n v="3"/>
    <n v="5"/>
    <n v="5"/>
    <n v="0"/>
    <n v="0"/>
    <n v="85"/>
    <n v="4.5"/>
    <n v="4.5"/>
    <n v="4.75"/>
    <n v="4.25"/>
    <n v="3.25"/>
    <n v="0"/>
    <n v="0"/>
    <x v="0"/>
    <n v="4.25"/>
  </r>
  <r>
    <x v="29"/>
    <n v="3"/>
    <n v="4"/>
    <n v="2"/>
    <n v="4"/>
    <n v="3"/>
    <n v="0"/>
    <n v="0"/>
    <n v="7"/>
    <n v="5"/>
    <n v="3"/>
    <n v="9"/>
    <n v="4"/>
    <n v="0"/>
    <n v="0"/>
    <n v="4"/>
    <n v="3"/>
    <n v="3"/>
    <n v="2"/>
    <n v="3"/>
    <n v="0"/>
    <n v="0"/>
    <n v="2"/>
    <n v="3"/>
    <n v="4"/>
    <n v="4"/>
    <n v="5"/>
    <n v="0"/>
    <n v="0"/>
    <n v="77"/>
    <n v="4"/>
    <n v="3.75"/>
    <n v="3"/>
    <n v="4.75"/>
    <n v="3.75"/>
    <n v="0"/>
    <n v="0"/>
    <x v="0"/>
    <n v="3.85"/>
  </r>
  <r>
    <x v="30"/>
    <n v="9"/>
    <n v="5"/>
    <n v="12"/>
    <n v="6"/>
    <n v="9"/>
    <n v="2"/>
    <n v="0"/>
    <n v="5"/>
    <n v="9"/>
    <n v="10"/>
    <n v="6"/>
    <n v="6"/>
    <n v="3"/>
    <n v="0"/>
    <n v="11"/>
    <n v="4"/>
    <n v="10"/>
    <n v="5"/>
    <n v="11"/>
    <n v="3"/>
    <n v="0"/>
    <n v="7"/>
    <n v="12"/>
    <n v="11"/>
    <n v="10"/>
    <n v="7"/>
    <n v="6"/>
    <n v="0"/>
    <n v="179"/>
    <n v="8"/>
    <n v="7.5"/>
    <n v="10.75"/>
    <n v="6.75"/>
    <n v="8.25"/>
    <n v="3.5"/>
    <n v="0"/>
    <x v="0"/>
    <n v="8.25"/>
  </r>
  <r>
    <x v="31"/>
    <n v="9"/>
    <n v="6"/>
    <n v="10"/>
    <n v="5"/>
    <n v="6"/>
    <n v="5"/>
    <n v="0"/>
    <n v="10"/>
    <n v="11"/>
    <n v="10"/>
    <n v="4"/>
    <n v="11"/>
    <n v="3"/>
    <n v="0"/>
    <n v="3"/>
    <n v="6"/>
    <n v="10"/>
    <n v="8"/>
    <n v="13"/>
    <n v="6"/>
    <n v="0"/>
    <n v="5"/>
    <n v="5"/>
    <n v="5"/>
    <n v="8"/>
    <n v="8"/>
    <n v="5"/>
    <n v="0"/>
    <n v="172"/>
    <n v="6.75"/>
    <n v="7"/>
    <n v="8.75"/>
    <n v="6.25"/>
    <n v="9.5"/>
    <n v="4.75"/>
    <n v="0"/>
    <x v="0"/>
    <n v="7.65"/>
  </r>
  <r>
    <x v="32"/>
    <n v="6"/>
    <n v="9"/>
    <n v="6"/>
    <n v="7"/>
    <n v="10"/>
    <n v="4"/>
    <n v="0"/>
    <n v="11"/>
    <n v="8"/>
    <n v="5"/>
    <n v="8"/>
    <n v="6"/>
    <n v="5"/>
    <n v="0"/>
    <n v="8"/>
    <n v="7"/>
    <n v="5"/>
    <n v="7"/>
    <n v="8"/>
    <n v="2"/>
    <n v="0"/>
    <n v="10"/>
    <n v="9"/>
    <n v="11"/>
    <n v="9"/>
    <n v="10"/>
    <n v="6"/>
    <n v="0"/>
    <n v="177"/>
    <n v="8.75"/>
    <n v="8.25"/>
    <n v="6.75"/>
    <n v="7.75"/>
    <n v="8.5"/>
    <n v="4.25"/>
    <n v="0"/>
    <x v="0"/>
    <n v="8"/>
  </r>
  <r>
    <x v="33"/>
    <n v="9"/>
    <n v="6"/>
    <n v="8"/>
    <n v="3"/>
    <n v="8"/>
    <n v="6"/>
    <n v="0"/>
    <n v="13"/>
    <n v="12"/>
    <n v="7"/>
    <n v="12"/>
    <n v="6"/>
    <n v="3"/>
    <n v="0"/>
    <n v="8"/>
    <n v="7"/>
    <n v="7"/>
    <n v="8"/>
    <n v="9"/>
    <n v="4"/>
    <n v="0"/>
    <n v="12"/>
    <n v="9"/>
    <n v="12"/>
    <n v="6"/>
    <n v="9"/>
    <n v="2"/>
    <n v="0"/>
    <n v="186"/>
    <n v="10.5"/>
    <n v="8.5"/>
    <n v="8.5"/>
    <n v="7.25"/>
    <n v="8"/>
    <n v="3.75"/>
    <n v="0"/>
    <x v="0"/>
    <n v="8.5500000000000007"/>
  </r>
  <r>
    <x v="34"/>
    <n v="7"/>
    <n v="6"/>
    <n v="11"/>
    <n v="6"/>
    <n v="9"/>
    <n v="2"/>
    <n v="0"/>
    <n v="5"/>
    <n v="11"/>
    <n v="11"/>
    <n v="3"/>
    <n v="12"/>
    <n v="4"/>
    <n v="0"/>
    <n v="4"/>
    <n v="5"/>
    <n v="6"/>
    <n v="11"/>
    <n v="8"/>
    <n v="4"/>
    <n v="0"/>
    <n v="6"/>
    <n v="6"/>
    <n v="8"/>
    <n v="11"/>
    <n v="4"/>
    <n v="3"/>
    <n v="0"/>
    <n v="163"/>
    <n v="5.5"/>
    <n v="7"/>
    <n v="9"/>
    <n v="7.75"/>
    <n v="8.25"/>
    <n v="3.25"/>
    <n v="0"/>
    <x v="0"/>
    <n v="7.5"/>
  </r>
  <r>
    <x v="35"/>
    <n v="7"/>
    <n v="6"/>
    <n v="6"/>
    <n v="6"/>
    <n v="10"/>
    <n v="3"/>
    <n v="0"/>
    <n v="9"/>
    <n v="6"/>
    <n v="6"/>
    <n v="11"/>
    <n v="9"/>
    <n v="6"/>
    <n v="0"/>
    <n v="6"/>
    <n v="5"/>
    <n v="6"/>
    <n v="6"/>
    <n v="9"/>
    <n v="3"/>
    <n v="0"/>
    <n v="7"/>
    <n v="9"/>
    <n v="7"/>
    <n v="8"/>
    <n v="10"/>
    <n v="6"/>
    <n v="0"/>
    <n v="167"/>
    <n v="7.25"/>
    <n v="6.5"/>
    <n v="6.25"/>
    <n v="7.75"/>
    <n v="9.5"/>
    <n v="4.5"/>
    <n v="0"/>
    <x v="0"/>
    <n v="7.45"/>
  </r>
  <r>
    <x v="36"/>
    <n v="11"/>
    <n v="10"/>
    <n v="9"/>
    <n v="5"/>
    <n v="9"/>
    <n v="2"/>
    <n v="0"/>
    <n v="8"/>
    <n v="9"/>
    <n v="7"/>
    <n v="6"/>
    <n v="8"/>
    <n v="6"/>
    <n v="0"/>
    <n v="5"/>
    <n v="5"/>
    <n v="10"/>
    <n v="11"/>
    <n v="9"/>
    <n v="2"/>
    <n v="0"/>
    <n v="6"/>
    <n v="8"/>
    <n v="5"/>
    <n v="11"/>
    <n v="6"/>
    <n v="3"/>
    <n v="0"/>
    <n v="171"/>
    <n v="7.5"/>
    <n v="8"/>
    <n v="7.75"/>
    <n v="8.25"/>
    <n v="8"/>
    <n v="3.25"/>
    <n v="0"/>
    <x v="0"/>
    <n v="7.9"/>
  </r>
  <r>
    <x v="37"/>
    <n v="7"/>
    <n v="7"/>
    <n v="7"/>
    <n v="11"/>
    <n v="6"/>
    <n v="6"/>
    <n v="0"/>
    <n v="4"/>
    <n v="7"/>
    <n v="8"/>
    <n v="10"/>
    <n v="9"/>
    <n v="3"/>
    <n v="0"/>
    <n v="4"/>
    <n v="6"/>
    <n v="7"/>
    <n v="8"/>
    <n v="11"/>
    <n v="2"/>
    <n v="0"/>
    <n v="12"/>
    <n v="8"/>
    <n v="6"/>
    <n v="9"/>
    <n v="7"/>
    <n v="4"/>
    <n v="0"/>
    <n v="169"/>
    <n v="6.75"/>
    <n v="7"/>
    <n v="7"/>
    <n v="9.5"/>
    <n v="8.25"/>
    <n v="3.75"/>
    <n v="0"/>
    <x v="0"/>
    <n v="7.7"/>
  </r>
  <r>
    <x v="38"/>
    <n v="11"/>
    <n v="8"/>
    <n v="5"/>
    <n v="6"/>
    <n v="7"/>
    <n v="2"/>
    <n v="0"/>
    <n v="8"/>
    <n v="5"/>
    <n v="8"/>
    <n v="7"/>
    <n v="10"/>
    <n v="4"/>
    <n v="0"/>
    <n v="6"/>
    <n v="10"/>
    <n v="8"/>
    <n v="10"/>
    <n v="4"/>
    <n v="3"/>
    <n v="0"/>
    <n v="10"/>
    <n v="8"/>
    <n v="8"/>
    <n v="4"/>
    <n v="8"/>
    <n v="4"/>
    <n v="0"/>
    <n v="164"/>
    <n v="8.75"/>
    <n v="7.75"/>
    <n v="7.25"/>
    <n v="6.75"/>
    <n v="7.25"/>
    <n v="3.25"/>
    <n v="0"/>
    <x v="0"/>
    <n v="7.55"/>
  </r>
  <r>
    <x v="39"/>
    <n v="7"/>
    <n v="5"/>
    <n v="4"/>
    <n v="7"/>
    <n v="5"/>
    <n v="3"/>
    <n v="0"/>
    <n v="8"/>
    <n v="6"/>
    <n v="6"/>
    <n v="5"/>
    <n v="5"/>
    <n v="3"/>
    <n v="0"/>
    <n v="5"/>
    <n v="8"/>
    <n v="7"/>
    <n v="7"/>
    <n v="7"/>
    <n v="6"/>
    <n v="0"/>
    <n v="11"/>
    <n v="8"/>
    <n v="13"/>
    <n v="10"/>
    <n v="10"/>
    <n v="6"/>
    <n v="0"/>
    <n v="162"/>
    <n v="7.75"/>
    <n v="6.75"/>
    <n v="7.5"/>
    <n v="7.25"/>
    <n v="6.75"/>
    <n v="4.5"/>
    <n v="0"/>
    <x v="0"/>
    <n v="7.2"/>
  </r>
  <r>
    <x v="40"/>
    <n v="9"/>
    <n v="10"/>
    <n v="8"/>
    <n v="5"/>
    <n v="8"/>
    <n v="3"/>
    <n v="0"/>
    <n v="9"/>
    <n v="11"/>
    <n v="8"/>
    <n v="12"/>
    <n v="7"/>
    <n v="2"/>
    <n v="0"/>
    <n v="7"/>
    <n v="13"/>
    <n v="8"/>
    <n v="10"/>
    <n v="7"/>
    <n v="4"/>
    <n v="0"/>
    <n v="6"/>
    <n v="11"/>
    <n v="7"/>
    <n v="12"/>
    <n v="7"/>
    <n v="2"/>
    <n v="0"/>
    <n v="186"/>
    <n v="7.75"/>
    <n v="11.25"/>
    <n v="7.75"/>
    <n v="9.75"/>
    <n v="7.25"/>
    <n v="2.75"/>
    <n v="0"/>
    <x v="0"/>
    <n v="8.75"/>
  </r>
  <r>
    <x v="41"/>
    <n v="6"/>
    <n v="10"/>
    <n v="7"/>
    <n v="11"/>
    <n v="12"/>
    <n v="3"/>
    <n v="0"/>
    <n v="8"/>
    <n v="3"/>
    <n v="11"/>
    <n v="11"/>
    <n v="9"/>
    <n v="4"/>
    <n v="0"/>
    <n v="11"/>
    <n v="9"/>
    <n v="9"/>
    <n v="5"/>
    <n v="10"/>
    <n v="4"/>
    <n v="0"/>
    <n v="13"/>
    <n v="5"/>
    <n v="6"/>
    <n v="6"/>
    <n v="11"/>
    <n v="2"/>
    <n v="0"/>
    <n v="186"/>
    <n v="9.5"/>
    <n v="6.75"/>
    <n v="8.25"/>
    <n v="8.25"/>
    <n v="10.5"/>
    <n v="3.25"/>
    <n v="0"/>
    <x v="0"/>
    <n v="8.65"/>
  </r>
  <r>
    <x v="42"/>
    <n v="7"/>
    <n v="8"/>
    <n v="9"/>
    <n v="14"/>
    <n v="7"/>
    <n v="3"/>
    <n v="0"/>
    <n v="8"/>
    <n v="11"/>
    <n v="11"/>
    <n v="8"/>
    <n v="10"/>
    <n v="5"/>
    <n v="0"/>
    <n v="6"/>
    <n v="6"/>
    <n v="5"/>
    <n v="10"/>
    <n v="6"/>
    <n v="5"/>
    <n v="0"/>
    <n v="8"/>
    <n v="5"/>
    <n v="8"/>
    <n v="8"/>
    <n v="9"/>
    <n v="5"/>
    <n v="0"/>
    <n v="182"/>
    <n v="7.25"/>
    <n v="7.5"/>
    <n v="8.25"/>
    <n v="10"/>
    <n v="8"/>
    <n v="4.5"/>
    <n v="0"/>
    <x v="0"/>
    <n v="8.1999999999999993"/>
  </r>
  <r>
    <x v="43"/>
    <n v="8"/>
    <n v="11"/>
    <n v="7"/>
    <n v="9"/>
    <n v="8"/>
    <n v="6"/>
    <n v="0"/>
    <n v="4"/>
    <n v="8"/>
    <n v="7"/>
    <n v="13"/>
    <n v="6"/>
    <n v="5"/>
    <n v="0"/>
    <n v="8"/>
    <n v="9"/>
    <n v="12"/>
    <n v="8"/>
    <n v="8"/>
    <n v="3"/>
    <n v="0"/>
    <n v="7"/>
    <n v="10"/>
    <n v="11"/>
    <n v="7"/>
    <n v="10"/>
    <n v="5"/>
    <n v="0"/>
    <n v="190"/>
    <n v="6.75"/>
    <n v="9.5"/>
    <n v="9.25"/>
    <n v="9.25"/>
    <n v="8"/>
    <n v="4.75"/>
    <n v="0"/>
    <x v="0"/>
    <n v="8.5500000000000007"/>
  </r>
  <r>
    <x v="44"/>
    <n v="9"/>
    <n v="7"/>
    <n v="7"/>
    <n v="10"/>
    <n v="6"/>
    <n v="5"/>
    <n v="0"/>
    <n v="10"/>
    <n v="7"/>
    <n v="7"/>
    <n v="7"/>
    <n v="8"/>
    <n v="2"/>
    <n v="0"/>
    <n v="10"/>
    <n v="5"/>
    <n v="5"/>
    <n v="8"/>
    <n v="8"/>
    <n v="3"/>
    <n v="0"/>
    <n v="5"/>
    <n v="7"/>
    <n v="4"/>
    <n v="10"/>
    <n v="4"/>
    <n v="4"/>
    <n v="0"/>
    <n v="158"/>
    <n v="8.5"/>
    <n v="6.5"/>
    <n v="5.75"/>
    <n v="8.75"/>
    <n v="6.5"/>
    <n v="3.5"/>
    <n v="0"/>
    <x v="0"/>
    <n v="7.2"/>
  </r>
  <r>
    <x v="45"/>
    <n v="10"/>
    <n v="6"/>
    <n v="6"/>
    <n v="12"/>
    <n v="4"/>
    <n v="2"/>
    <n v="0"/>
    <n v="5"/>
    <n v="7"/>
    <n v="6"/>
    <n v="5"/>
    <n v="8"/>
    <n v="4"/>
    <n v="0"/>
    <n v="5"/>
    <n v="6"/>
    <n v="13"/>
    <n v="5"/>
    <n v="9"/>
    <n v="2"/>
    <n v="0"/>
    <n v="7"/>
    <n v="10"/>
    <n v="5"/>
    <n v="6"/>
    <n v="6"/>
    <n v="4"/>
    <n v="0"/>
    <n v="153"/>
    <n v="6.75"/>
    <n v="7.25"/>
    <n v="7.5"/>
    <n v="7"/>
    <n v="6.75"/>
    <n v="3"/>
    <n v="0"/>
    <x v="0"/>
    <n v="7.05"/>
  </r>
  <r>
    <x v="46"/>
    <n v="9"/>
    <n v="7"/>
    <n v="8"/>
    <n v="8"/>
    <n v="7"/>
    <n v="2"/>
    <n v="0"/>
    <n v="8"/>
    <n v="9"/>
    <n v="9"/>
    <n v="12"/>
    <n v="10"/>
    <n v="2"/>
    <n v="0"/>
    <n v="10"/>
    <n v="10"/>
    <n v="10"/>
    <n v="5"/>
    <n v="10"/>
    <n v="5"/>
    <n v="0"/>
    <n v="6"/>
    <n v="11"/>
    <n v="6"/>
    <n v="6"/>
    <n v="9"/>
    <n v="4"/>
    <n v="0"/>
    <n v="183"/>
    <n v="8.25"/>
    <n v="9.25"/>
    <n v="8.25"/>
    <n v="7.75"/>
    <n v="9"/>
    <n v="3.25"/>
    <n v="0"/>
    <x v="0"/>
    <n v="8.5"/>
  </r>
  <r>
    <x v="47"/>
    <n v="7"/>
    <n v="7"/>
    <n v="8"/>
    <n v="8"/>
    <n v="9"/>
    <n v="2"/>
    <n v="0"/>
    <n v="10"/>
    <n v="8"/>
    <n v="5"/>
    <n v="15"/>
    <n v="3"/>
    <n v="2"/>
    <n v="0"/>
    <n v="11"/>
    <n v="5"/>
    <n v="5"/>
    <n v="10"/>
    <n v="10"/>
    <n v="5"/>
    <n v="0"/>
    <n v="7"/>
    <n v="6"/>
    <n v="12"/>
    <n v="7"/>
    <n v="11"/>
    <n v="5"/>
    <n v="0"/>
    <n v="178"/>
    <n v="8.75"/>
    <n v="6.5"/>
    <n v="7.5"/>
    <n v="10"/>
    <n v="8.25"/>
    <n v="3.5"/>
    <n v="0"/>
    <x v="0"/>
    <n v="8.1999999999999993"/>
  </r>
  <r>
    <x v="48"/>
    <n v="6"/>
    <n v="10"/>
    <n v="10"/>
    <n v="3"/>
    <n v="15"/>
    <n v="5"/>
    <n v="0"/>
    <n v="8"/>
    <n v="10"/>
    <n v="8"/>
    <n v="9"/>
    <n v="8"/>
    <n v="5"/>
    <n v="0"/>
    <n v="8"/>
    <n v="9"/>
    <n v="10"/>
    <n v="6"/>
    <n v="10"/>
    <n v="5"/>
    <n v="0"/>
    <n v="5"/>
    <n v="6"/>
    <n v="5"/>
    <n v="9"/>
    <n v="5"/>
    <n v="3"/>
    <n v="0"/>
    <n v="178"/>
    <n v="6.75"/>
    <n v="8.75"/>
    <n v="8.25"/>
    <n v="6.75"/>
    <n v="9.5"/>
    <n v="4.5"/>
    <n v="0"/>
    <x v="0"/>
    <n v="8"/>
  </r>
  <r>
    <x v="49"/>
    <n v="5"/>
    <n v="7"/>
    <n v="4"/>
    <n v="7"/>
    <n v="8"/>
    <n v="2"/>
    <n v="0"/>
    <n v="8"/>
    <n v="7"/>
    <n v="5"/>
    <n v="6"/>
    <n v="8"/>
    <n v="2"/>
    <n v="0"/>
    <n v="8"/>
    <n v="5"/>
    <n v="9"/>
    <n v="8"/>
    <n v="10"/>
    <n v="4"/>
    <n v="0"/>
    <n v="10"/>
    <n v="6"/>
    <n v="13"/>
    <n v="8"/>
    <n v="12"/>
    <n v="2"/>
    <n v="0"/>
    <n v="164"/>
    <n v="7.75"/>
    <n v="6.25"/>
    <n v="7.75"/>
    <n v="7.25"/>
    <n v="9.5"/>
    <n v="2.5"/>
    <n v="0"/>
    <x v="0"/>
    <n v="7.7"/>
  </r>
  <r>
    <x v="50"/>
    <n v="9"/>
    <n v="10"/>
    <n v="6"/>
    <n v="11"/>
    <n v="4"/>
    <n v="2"/>
    <n v="0"/>
    <n v="12"/>
    <n v="4"/>
    <n v="6"/>
    <n v="6"/>
    <n v="8"/>
    <n v="2"/>
    <n v="0"/>
    <n v="6"/>
    <n v="9"/>
    <n v="6"/>
    <n v="6"/>
    <n v="8"/>
    <n v="5"/>
    <n v="0"/>
    <n v="8"/>
    <n v="8"/>
    <n v="5"/>
    <n v="8"/>
    <n v="12"/>
    <n v="6"/>
    <n v="0"/>
    <n v="167"/>
    <n v="8.75"/>
    <n v="7.75"/>
    <n v="5.75"/>
    <n v="7.75"/>
    <n v="8"/>
    <n v="3.75"/>
    <n v="0"/>
    <x v="0"/>
    <n v="7.6"/>
  </r>
  <r>
    <x v="51"/>
    <n v="8"/>
    <n v="7"/>
    <n v="11"/>
    <n v="7"/>
    <n v="12"/>
    <n v="5"/>
    <n v="0"/>
    <n v="9"/>
    <n v="9"/>
    <n v="7"/>
    <n v="8"/>
    <n v="6"/>
    <n v="4"/>
    <n v="0"/>
    <n v="6"/>
    <n v="8"/>
    <n v="9"/>
    <n v="5"/>
    <n v="4"/>
    <n v="2"/>
    <n v="0"/>
    <n v="9"/>
    <n v="10"/>
    <n v="5"/>
    <n v="8"/>
    <n v="10"/>
    <n v="3"/>
    <n v="0"/>
    <n v="172"/>
    <n v="8"/>
    <n v="8.5"/>
    <n v="8"/>
    <n v="7"/>
    <n v="8"/>
    <n v="3.5"/>
    <n v="0"/>
    <x v="0"/>
    <n v="7.9"/>
  </r>
  <r>
    <x v="52"/>
    <n v="10"/>
    <n v="12"/>
    <n v="11"/>
    <n v="9"/>
    <n v="11"/>
    <n v="2"/>
    <n v="0"/>
    <n v="9"/>
    <n v="11"/>
    <n v="8"/>
    <n v="7"/>
    <n v="7"/>
    <n v="4"/>
    <n v="0"/>
    <n v="13"/>
    <n v="14"/>
    <n v="7"/>
    <n v="7"/>
    <n v="8"/>
    <n v="4"/>
    <n v="0"/>
    <n v="6"/>
    <n v="6"/>
    <n v="7"/>
    <n v="10"/>
    <n v="8"/>
    <n v="6"/>
    <n v="0"/>
    <n v="197"/>
    <n v="9.5"/>
    <n v="10.75"/>
    <n v="8.25"/>
    <n v="8.25"/>
    <n v="8.5"/>
    <n v="4"/>
    <n v="0"/>
    <x v="0"/>
    <n v="9.0500000000000007"/>
  </r>
  <r>
    <x v="53"/>
    <n v="15"/>
    <n v="7"/>
    <n v="8"/>
    <n v="13"/>
    <n v="12"/>
    <n v="5"/>
    <n v="0"/>
    <n v="4"/>
    <n v="10"/>
    <n v="9"/>
    <n v="8"/>
    <n v="10"/>
    <n v="5"/>
    <n v="0"/>
    <n v="14"/>
    <n v="9"/>
    <n v="10"/>
    <n v="6"/>
    <n v="10"/>
    <n v="2"/>
    <n v="0"/>
    <n v="8"/>
    <n v="8"/>
    <n v="8"/>
    <n v="8"/>
    <n v="11"/>
    <n v="4"/>
    <n v="0"/>
    <n v="204"/>
    <n v="10.25"/>
    <n v="8.5"/>
    <n v="8.75"/>
    <n v="8.75"/>
    <n v="10.75"/>
    <n v="4"/>
    <n v="0"/>
    <x v="0"/>
    <n v="9.4"/>
  </r>
  <r>
    <x v="54"/>
    <n v="7"/>
    <n v="6"/>
    <n v="6"/>
    <n v="9"/>
    <n v="5"/>
    <n v="5"/>
    <n v="0"/>
    <n v="6"/>
    <n v="10"/>
    <n v="13"/>
    <n v="7"/>
    <n v="7"/>
    <n v="6"/>
    <n v="0"/>
    <n v="5"/>
    <n v="13"/>
    <n v="10"/>
    <n v="8"/>
    <n v="8"/>
    <n v="5"/>
    <n v="0"/>
    <n v="11"/>
    <n v="8"/>
    <n v="9"/>
    <n v="8"/>
    <n v="7"/>
    <n v="6"/>
    <n v="0"/>
    <n v="185"/>
    <n v="7.25"/>
    <n v="9.25"/>
    <n v="9.5"/>
    <n v="8"/>
    <n v="6.75"/>
    <n v="5.5"/>
    <n v="0"/>
    <x v="0"/>
    <n v="8.15"/>
  </r>
  <r>
    <x v="55"/>
    <n v="5"/>
    <n v="6"/>
    <n v="3"/>
    <n v="2"/>
    <n v="4"/>
    <n v="0"/>
    <n v="0"/>
    <n v="5"/>
    <n v="4"/>
    <n v="3"/>
    <n v="5"/>
    <n v="2"/>
    <n v="0"/>
    <n v="0"/>
    <n v="5"/>
    <n v="4"/>
    <n v="3"/>
    <n v="3"/>
    <n v="4"/>
    <n v="0"/>
    <n v="0"/>
    <n v="3"/>
    <n v="5"/>
    <n v="8"/>
    <n v="5"/>
    <n v="3"/>
    <n v="0"/>
    <n v="0"/>
    <n v="82"/>
    <n v="4.5"/>
    <n v="4.75"/>
    <n v="4.25"/>
    <n v="3.75"/>
    <n v="3.25"/>
    <n v="0"/>
    <n v="0"/>
    <x v="1"/>
    <n v="4.0999999999999996"/>
  </r>
  <r>
    <x v="56"/>
    <n v="3"/>
    <n v="5"/>
    <n v="6"/>
    <n v="2"/>
    <n v="4"/>
    <n v="0"/>
    <n v="0"/>
    <n v="3"/>
    <n v="8"/>
    <n v="5"/>
    <n v="4"/>
    <n v="4"/>
    <n v="0"/>
    <n v="0"/>
    <n v="4"/>
    <n v="3"/>
    <n v="4"/>
    <n v="6"/>
    <n v="5"/>
    <n v="0"/>
    <n v="0"/>
    <n v="6"/>
    <n v="5"/>
    <n v="4"/>
    <n v="8"/>
    <n v="3"/>
    <n v="0"/>
    <n v="0"/>
    <n v="92"/>
    <n v="4"/>
    <n v="5.25"/>
    <n v="4.75"/>
    <n v="5"/>
    <n v="4"/>
    <n v="0"/>
    <n v="0"/>
    <x v="1"/>
    <n v="4.5999999999999996"/>
  </r>
  <r>
    <x v="57"/>
    <n v="7"/>
    <n v="5"/>
    <n v="3"/>
    <n v="2"/>
    <n v="5"/>
    <n v="0"/>
    <n v="0"/>
    <n v="4"/>
    <n v="6"/>
    <n v="4"/>
    <n v="6"/>
    <n v="5"/>
    <n v="0"/>
    <n v="0"/>
    <n v="8"/>
    <n v="3"/>
    <n v="6"/>
    <n v="2"/>
    <n v="6"/>
    <n v="0"/>
    <n v="0"/>
    <n v="5"/>
    <n v="3"/>
    <n v="7"/>
    <n v="2"/>
    <n v="3"/>
    <n v="0"/>
    <n v="0"/>
    <n v="92"/>
    <n v="6"/>
    <n v="4.25"/>
    <n v="5"/>
    <n v="3"/>
    <n v="4.75"/>
    <n v="0"/>
    <n v="0"/>
    <x v="1"/>
    <n v="4.5999999999999996"/>
  </r>
  <r>
    <x v="58"/>
    <n v="4"/>
    <n v="2"/>
    <n v="5"/>
    <n v="5"/>
    <n v="5"/>
    <n v="0"/>
    <n v="0"/>
    <n v="4"/>
    <n v="2"/>
    <n v="4"/>
    <n v="3"/>
    <n v="3"/>
    <n v="0"/>
    <n v="0"/>
    <n v="4"/>
    <n v="2"/>
    <n v="5"/>
    <n v="2"/>
    <n v="5"/>
    <n v="0"/>
    <n v="0"/>
    <n v="5"/>
    <n v="4"/>
    <n v="3"/>
    <n v="5"/>
    <n v="3"/>
    <n v="0"/>
    <n v="0"/>
    <n v="75"/>
    <n v="4.25"/>
    <n v="2.5"/>
    <n v="4.25"/>
    <n v="3.75"/>
    <n v="4"/>
    <n v="0"/>
    <n v="0"/>
    <x v="1"/>
    <n v="3.75"/>
  </r>
  <r>
    <x v="59"/>
    <n v="3"/>
    <n v="5"/>
    <n v="3"/>
    <n v="7"/>
    <n v="5"/>
    <n v="0"/>
    <n v="0"/>
    <n v="4"/>
    <n v="4"/>
    <n v="6"/>
    <n v="5"/>
    <n v="5"/>
    <n v="0"/>
    <n v="0"/>
    <n v="3"/>
    <n v="4"/>
    <n v="5"/>
    <n v="5"/>
    <n v="2"/>
    <n v="0"/>
    <n v="0"/>
    <n v="4"/>
    <n v="7"/>
    <n v="6"/>
    <n v="8"/>
    <n v="4"/>
    <n v="0"/>
    <n v="0"/>
    <n v="95"/>
    <n v="3.5"/>
    <n v="5"/>
    <n v="5"/>
    <n v="6.25"/>
    <n v="4"/>
    <n v="0"/>
    <n v="0"/>
    <x v="1"/>
    <n v="4.75"/>
  </r>
  <r>
    <x v="60"/>
    <n v="3"/>
    <n v="2"/>
    <n v="6"/>
    <n v="6"/>
    <n v="4"/>
    <n v="0"/>
    <n v="0"/>
    <n v="3"/>
    <n v="8"/>
    <n v="5"/>
    <n v="3"/>
    <n v="3"/>
    <n v="0"/>
    <n v="0"/>
    <n v="4"/>
    <n v="5"/>
    <n v="2"/>
    <n v="5"/>
    <n v="5"/>
    <n v="0"/>
    <n v="0"/>
    <n v="5"/>
    <n v="5"/>
    <n v="5"/>
    <n v="5"/>
    <n v="5"/>
    <n v="0"/>
    <n v="0"/>
    <n v="89"/>
    <n v="3.75"/>
    <n v="5"/>
    <n v="4.5"/>
    <n v="4.75"/>
    <n v="4.25"/>
    <n v="0"/>
    <n v="0"/>
    <x v="2"/>
    <n v="4.45"/>
  </r>
  <r>
    <x v="61"/>
    <n v="6"/>
    <n v="7"/>
    <n v="4"/>
    <n v="3"/>
    <n v="5"/>
    <n v="0"/>
    <n v="0"/>
    <n v="4"/>
    <n v="6"/>
    <n v="4"/>
    <n v="3"/>
    <n v="7"/>
    <n v="0"/>
    <n v="0"/>
    <n v="7"/>
    <n v="5"/>
    <n v="3"/>
    <n v="5"/>
    <n v="3"/>
    <n v="0"/>
    <n v="0"/>
    <n v="5"/>
    <n v="4"/>
    <n v="5"/>
    <n v="4"/>
    <n v="3"/>
    <n v="0"/>
    <n v="0"/>
    <n v="93"/>
    <n v="5.5"/>
    <n v="5.5"/>
    <n v="4"/>
    <n v="3.75"/>
    <n v="4.5"/>
    <n v="0"/>
    <n v="0"/>
    <x v="2"/>
    <n v="4.6500000000000004"/>
  </r>
  <r>
    <x v="62"/>
    <n v="4"/>
    <n v="2"/>
    <n v="2"/>
    <n v="6"/>
    <n v="3"/>
    <n v="0"/>
    <n v="0"/>
    <n v="7"/>
    <n v="6"/>
    <n v="6"/>
    <n v="5"/>
    <n v="4"/>
    <n v="0"/>
    <n v="0"/>
    <n v="6"/>
    <n v="4"/>
    <n v="3"/>
    <n v="5"/>
    <n v="5"/>
    <n v="0"/>
    <n v="0"/>
    <n v="5"/>
    <n v="5"/>
    <n v="5"/>
    <n v="7"/>
    <n v="7"/>
    <n v="0"/>
    <n v="0"/>
    <n v="97"/>
    <n v="5.5"/>
    <n v="4.25"/>
    <n v="4"/>
    <n v="5.75"/>
    <n v="4.75"/>
    <n v="0"/>
    <n v="0"/>
    <x v="2"/>
    <n v="4.8499999999999996"/>
  </r>
  <r>
    <x v="63"/>
    <n v="4"/>
    <n v="6"/>
    <n v="4"/>
    <n v="5"/>
    <n v="5"/>
    <n v="0"/>
    <n v="0"/>
    <n v="7"/>
    <n v="4"/>
    <n v="3"/>
    <n v="6"/>
    <n v="3"/>
    <n v="0"/>
    <n v="0"/>
    <n v="3"/>
    <n v="4"/>
    <n v="6"/>
    <n v="2"/>
    <n v="6"/>
    <n v="0"/>
    <n v="0"/>
    <n v="6"/>
    <n v="6"/>
    <n v="6"/>
    <n v="3"/>
    <n v="6"/>
    <n v="0"/>
    <n v="0"/>
    <n v="95"/>
    <n v="5"/>
    <n v="5"/>
    <n v="4.75"/>
    <n v="4"/>
    <n v="5"/>
    <n v="0"/>
    <n v="0"/>
    <x v="2"/>
    <n v="4.75"/>
  </r>
  <r>
    <x v="64"/>
    <n v="3"/>
    <n v="3"/>
    <n v="4"/>
    <n v="3"/>
    <n v="4"/>
    <n v="0"/>
    <n v="0"/>
    <n v="7"/>
    <n v="4"/>
    <n v="2"/>
    <n v="5"/>
    <n v="6"/>
    <n v="0"/>
    <n v="0"/>
    <n v="2"/>
    <n v="6"/>
    <n v="6"/>
    <n v="3"/>
    <n v="3"/>
    <n v="0"/>
    <n v="0"/>
    <n v="3"/>
    <n v="4"/>
    <n v="7"/>
    <n v="7"/>
    <n v="5"/>
    <n v="0"/>
    <n v="0"/>
    <n v="87"/>
    <n v="3.75"/>
    <n v="4.25"/>
    <n v="4.75"/>
    <n v="4.5"/>
    <n v="4.5"/>
    <n v="0"/>
    <n v="0"/>
    <x v="2"/>
    <n v="4.34999999999999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n v="5"/>
    <n v="6"/>
    <n v="10"/>
    <n v="11"/>
    <n v="7"/>
    <n v="5"/>
    <n v="0"/>
    <n v="7"/>
    <n v="8"/>
    <n v="5"/>
    <n v="8"/>
    <n v="3"/>
    <n v="5"/>
    <n v="0"/>
    <n v="6"/>
    <n v="10"/>
    <n v="5"/>
    <n v="6"/>
    <n v="7"/>
    <n v="6"/>
    <n v="0"/>
    <n v="8"/>
    <n v="6"/>
    <n v="8"/>
    <n v="9"/>
    <n v="7"/>
    <n v="3"/>
    <n v="0"/>
    <n v="161"/>
    <n v="6.5"/>
    <n v="7.5"/>
    <n v="7"/>
    <n v="8.5"/>
    <n v="6"/>
    <n v="4.75"/>
    <n v="0"/>
    <x v="0"/>
    <n v="7.1"/>
    <n v="11"/>
    <n v="9.5"/>
  </r>
  <r>
    <x v="1"/>
    <n v="6"/>
    <n v="8"/>
    <n v="5"/>
    <n v="8"/>
    <n v="8"/>
    <n v="2"/>
    <n v="0"/>
    <n v="8"/>
    <n v="8"/>
    <n v="13"/>
    <n v="11"/>
    <n v="8"/>
    <n v="4"/>
    <n v="0"/>
    <n v="6"/>
    <n v="8"/>
    <n v="9"/>
    <n v="10"/>
    <n v="6"/>
    <n v="3"/>
    <n v="0"/>
    <n v="11"/>
    <n v="7"/>
    <n v="7"/>
    <n v="9"/>
    <n v="5"/>
    <n v="5"/>
    <n v="0"/>
    <n v="175"/>
    <n v="7.75"/>
    <n v="7.75"/>
    <n v="8.5"/>
    <n v="9.5"/>
    <n v="6.75"/>
    <n v="3.5"/>
    <n v="0"/>
    <x v="0"/>
    <n v="8.0500000000000007"/>
    <n v="13"/>
    <n v="10.5"/>
  </r>
  <r>
    <x v="2"/>
    <n v="9"/>
    <n v="9"/>
    <n v="8"/>
    <n v="7"/>
    <n v="14"/>
    <n v="4"/>
    <n v="0"/>
    <n v="6"/>
    <n v="10"/>
    <n v="6"/>
    <n v="5"/>
    <n v="6"/>
    <n v="4"/>
    <n v="0"/>
    <n v="8"/>
    <n v="8"/>
    <n v="10"/>
    <n v="3"/>
    <n v="10"/>
    <n v="6"/>
    <n v="0"/>
    <n v="7"/>
    <n v="9"/>
    <n v="4"/>
    <n v="6"/>
    <n v="9"/>
    <n v="2"/>
    <n v="0"/>
    <n v="170"/>
    <n v="7.5"/>
    <n v="9"/>
    <n v="7"/>
    <n v="5.25"/>
    <n v="9.75"/>
    <n v="4"/>
    <n v="0"/>
    <x v="0"/>
    <n v="7.7"/>
    <n v="14"/>
    <n v="10.75"/>
  </r>
  <r>
    <x v="3"/>
    <n v="9"/>
    <n v="4"/>
    <n v="8"/>
    <n v="10"/>
    <n v="7"/>
    <n v="5"/>
    <n v="0"/>
    <n v="5"/>
    <n v="6"/>
    <n v="12"/>
    <n v="10"/>
    <n v="11"/>
    <n v="2"/>
    <n v="0"/>
    <n v="7"/>
    <n v="5"/>
    <n v="10"/>
    <n v="10"/>
    <n v="7"/>
    <n v="6"/>
    <n v="0"/>
    <n v="9"/>
    <n v="9"/>
    <n v="5"/>
    <n v="4"/>
    <n v="12"/>
    <n v="4"/>
    <n v="0"/>
    <n v="177"/>
    <n v="7.5"/>
    <n v="6"/>
    <n v="8.75"/>
    <n v="8.5"/>
    <n v="9.25"/>
    <n v="4.25"/>
    <n v="0"/>
    <x v="0"/>
    <n v="8"/>
    <n v="12"/>
    <n v="11"/>
  </r>
  <r>
    <x v="4"/>
    <n v="6"/>
    <n v="8"/>
    <n v="7"/>
    <n v="6"/>
    <n v="6"/>
    <n v="2"/>
    <n v="0"/>
    <n v="9"/>
    <n v="4"/>
    <n v="8"/>
    <n v="10"/>
    <n v="9"/>
    <n v="2"/>
    <n v="0"/>
    <n v="6"/>
    <n v="7"/>
    <n v="9"/>
    <n v="9"/>
    <n v="7"/>
    <n v="3"/>
    <n v="0"/>
    <n v="8"/>
    <n v="8"/>
    <n v="4"/>
    <n v="10"/>
    <n v="3"/>
    <n v="2"/>
    <n v="0"/>
    <n v="153"/>
    <n v="7.25"/>
    <n v="6.75"/>
    <n v="7"/>
    <n v="8.75"/>
    <n v="6.25"/>
    <n v="2.25"/>
    <n v="0"/>
    <x v="0"/>
    <n v="7.2"/>
    <n v="10"/>
    <n v="9.25"/>
  </r>
  <r>
    <x v="5"/>
    <n v="9"/>
    <n v="11"/>
    <n v="7"/>
    <n v="11"/>
    <n v="9"/>
    <n v="2"/>
    <n v="0"/>
    <n v="8"/>
    <n v="8"/>
    <n v="10"/>
    <n v="9"/>
    <n v="8"/>
    <n v="4"/>
    <n v="0"/>
    <n v="7"/>
    <n v="7"/>
    <n v="8"/>
    <n v="8"/>
    <n v="6"/>
    <n v="3"/>
    <n v="0"/>
    <n v="11"/>
    <n v="6"/>
    <n v="8"/>
    <n v="9"/>
    <n v="4"/>
    <n v="5"/>
    <n v="0"/>
    <n v="178"/>
    <n v="8.75"/>
    <n v="8"/>
    <n v="8.25"/>
    <n v="9.25"/>
    <n v="6.75"/>
    <n v="3.5"/>
    <n v="0"/>
    <x v="0"/>
    <n v="8.1999999999999993"/>
    <n v="11"/>
    <n v="10"/>
  </r>
  <r>
    <x v="6"/>
    <n v="14"/>
    <n v="11"/>
    <n v="6"/>
    <n v="8"/>
    <n v="14"/>
    <n v="2"/>
    <n v="0"/>
    <n v="6"/>
    <n v="5"/>
    <n v="10"/>
    <n v="9"/>
    <n v="6"/>
    <n v="4"/>
    <n v="0"/>
    <n v="10"/>
    <n v="3"/>
    <n v="5"/>
    <n v="7"/>
    <n v="12"/>
    <n v="6"/>
    <n v="0"/>
    <n v="9"/>
    <n v="5"/>
    <n v="7"/>
    <n v="7"/>
    <n v="9"/>
    <n v="5"/>
    <n v="0"/>
    <n v="180"/>
    <n v="9.75"/>
    <n v="6"/>
    <n v="7"/>
    <n v="7.75"/>
    <n v="10.25"/>
    <n v="4.25"/>
    <n v="0"/>
    <x v="0"/>
    <n v="8.15"/>
    <n v="14"/>
    <n v="11.25"/>
  </r>
  <r>
    <x v="7"/>
    <n v="8"/>
    <n v="4"/>
    <n v="8"/>
    <n v="3"/>
    <n v="4"/>
    <n v="6"/>
    <n v="0"/>
    <n v="10"/>
    <n v="6"/>
    <n v="7"/>
    <n v="8"/>
    <n v="7"/>
    <n v="3"/>
    <n v="0"/>
    <n v="6"/>
    <n v="8"/>
    <n v="10"/>
    <n v="5"/>
    <n v="5"/>
    <n v="6"/>
    <n v="0"/>
    <n v="9"/>
    <n v="9"/>
    <n v="11"/>
    <n v="7"/>
    <n v="6"/>
    <n v="3"/>
    <n v="0"/>
    <n v="159"/>
    <n v="8.25"/>
    <n v="6.75"/>
    <n v="9"/>
    <n v="5.75"/>
    <n v="5.5"/>
    <n v="4.5"/>
    <n v="0"/>
    <x v="0"/>
    <n v="7.05"/>
    <n v="11"/>
    <n v="9.75"/>
  </r>
  <r>
    <x v="8"/>
    <n v="10"/>
    <n v="10"/>
    <n v="13"/>
    <n v="7"/>
    <n v="9"/>
    <n v="4"/>
    <n v="0"/>
    <n v="5"/>
    <n v="12"/>
    <n v="8"/>
    <n v="9"/>
    <n v="11"/>
    <n v="4"/>
    <n v="0"/>
    <n v="8"/>
    <n v="12"/>
    <n v="6"/>
    <n v="5"/>
    <n v="10"/>
    <n v="2"/>
    <n v="0"/>
    <n v="8"/>
    <n v="6"/>
    <n v="10"/>
    <n v="3"/>
    <n v="5"/>
    <n v="4"/>
    <n v="0"/>
    <n v="181"/>
    <n v="7.75"/>
    <n v="10"/>
    <n v="9.25"/>
    <n v="6"/>
    <n v="8.75"/>
    <n v="3.5"/>
    <n v="0"/>
    <x v="0"/>
    <n v="8.35"/>
    <n v="13"/>
    <n v="11.75"/>
  </r>
  <r>
    <x v="9"/>
    <n v="11"/>
    <n v="9"/>
    <n v="9"/>
    <n v="7"/>
    <n v="5"/>
    <n v="2"/>
    <n v="0"/>
    <n v="7"/>
    <n v="7"/>
    <n v="10"/>
    <n v="4"/>
    <n v="12"/>
    <n v="3"/>
    <n v="0"/>
    <n v="8"/>
    <n v="9"/>
    <n v="13"/>
    <n v="11"/>
    <n v="8"/>
    <n v="2"/>
    <n v="0"/>
    <n v="11"/>
    <n v="6"/>
    <n v="11"/>
    <n v="3"/>
    <n v="11"/>
    <n v="5"/>
    <n v="0"/>
    <n v="184"/>
    <n v="9.25"/>
    <n v="7.75"/>
    <n v="10.75"/>
    <n v="6.25"/>
    <n v="9"/>
    <n v="3"/>
    <n v="0"/>
    <x v="0"/>
    <n v="8.6"/>
    <n v="13"/>
    <n v="11.75"/>
  </r>
  <r>
    <x v="10"/>
    <n v="8"/>
    <n v="11"/>
    <n v="3"/>
    <n v="6"/>
    <n v="12"/>
    <n v="6"/>
    <n v="0"/>
    <n v="6"/>
    <n v="5"/>
    <n v="13"/>
    <n v="10"/>
    <n v="9"/>
    <n v="6"/>
    <n v="0"/>
    <n v="5"/>
    <n v="11"/>
    <n v="6"/>
    <n v="11"/>
    <n v="6"/>
    <n v="6"/>
    <n v="0"/>
    <n v="10"/>
    <n v="7"/>
    <n v="11"/>
    <n v="9"/>
    <n v="7"/>
    <n v="4"/>
    <n v="0"/>
    <n v="188"/>
    <n v="7.25"/>
    <n v="8.5"/>
    <n v="8.25"/>
    <n v="9"/>
    <n v="8.5"/>
    <n v="5.5"/>
    <n v="0"/>
    <x v="0"/>
    <n v="8.3000000000000007"/>
    <n v="13"/>
    <n v="11.75"/>
  </r>
  <r>
    <x v="11"/>
    <n v="7"/>
    <n v="5"/>
    <n v="8"/>
    <n v="6"/>
    <n v="6"/>
    <n v="2"/>
    <n v="0"/>
    <n v="9"/>
    <n v="13"/>
    <n v="9"/>
    <n v="4"/>
    <n v="9"/>
    <n v="4"/>
    <n v="0"/>
    <n v="5"/>
    <n v="6"/>
    <n v="9"/>
    <n v="6"/>
    <n v="10"/>
    <n v="5"/>
    <n v="0"/>
    <n v="10"/>
    <n v="8"/>
    <n v="6"/>
    <n v="7"/>
    <n v="3"/>
    <n v="6"/>
    <n v="0"/>
    <n v="163"/>
    <n v="7.75"/>
    <n v="8"/>
    <n v="8"/>
    <n v="5.75"/>
    <n v="7"/>
    <n v="4.25"/>
    <n v="0"/>
    <x v="0"/>
    <n v="7.3"/>
    <n v="13"/>
    <n v="10.25"/>
  </r>
  <r>
    <x v="12"/>
    <n v="11"/>
    <n v="9"/>
    <n v="5"/>
    <n v="6"/>
    <n v="10"/>
    <n v="5"/>
    <n v="0"/>
    <n v="8"/>
    <n v="5"/>
    <n v="8"/>
    <n v="4"/>
    <n v="8"/>
    <n v="3"/>
    <n v="0"/>
    <n v="12"/>
    <n v="8"/>
    <n v="6"/>
    <n v="8"/>
    <n v="8"/>
    <n v="6"/>
    <n v="0"/>
    <n v="5"/>
    <n v="6"/>
    <n v="8"/>
    <n v="11"/>
    <n v="12"/>
    <n v="3"/>
    <n v="0"/>
    <n v="175"/>
    <n v="9"/>
    <n v="7"/>
    <n v="6.75"/>
    <n v="7.25"/>
    <n v="9.5"/>
    <n v="4.25"/>
    <n v="0"/>
    <x v="0"/>
    <n v="7.9"/>
    <n v="12"/>
    <n v="10.75"/>
  </r>
  <r>
    <x v="13"/>
    <n v="5"/>
    <n v="8"/>
    <n v="9"/>
    <n v="8"/>
    <n v="7"/>
    <n v="2"/>
    <n v="0"/>
    <n v="10"/>
    <n v="5"/>
    <n v="7"/>
    <n v="7"/>
    <n v="12"/>
    <n v="4"/>
    <n v="0"/>
    <n v="10"/>
    <n v="6"/>
    <n v="7"/>
    <n v="12"/>
    <n v="8"/>
    <n v="3"/>
    <n v="0"/>
    <n v="4"/>
    <n v="12"/>
    <n v="4"/>
    <n v="7"/>
    <n v="5"/>
    <n v="2"/>
    <n v="0"/>
    <n v="164"/>
    <n v="7.25"/>
    <n v="7.75"/>
    <n v="6.75"/>
    <n v="8.5"/>
    <n v="8"/>
    <n v="2.75"/>
    <n v="0"/>
    <x v="0"/>
    <n v="7.65"/>
    <n v="12"/>
    <n v="11.25"/>
  </r>
  <r>
    <x v="14"/>
    <n v="11"/>
    <n v="8"/>
    <n v="8"/>
    <n v="4"/>
    <n v="10"/>
    <n v="6"/>
    <n v="0"/>
    <n v="9"/>
    <n v="9"/>
    <n v="7"/>
    <n v="9"/>
    <n v="7"/>
    <n v="6"/>
    <n v="0"/>
    <n v="9"/>
    <n v="11"/>
    <n v="8"/>
    <n v="12"/>
    <n v="8"/>
    <n v="6"/>
    <n v="0"/>
    <n v="8"/>
    <n v="11"/>
    <n v="8"/>
    <n v="10"/>
    <n v="5"/>
    <n v="6"/>
    <n v="0"/>
    <n v="196"/>
    <n v="9.25"/>
    <n v="9.75"/>
    <n v="7.75"/>
    <n v="8.75"/>
    <n v="7.5"/>
    <n v="6"/>
    <n v="0"/>
    <x v="0"/>
    <n v="8.6"/>
    <n v="12"/>
    <n v="10.75"/>
  </r>
  <r>
    <x v="15"/>
    <n v="9"/>
    <n v="10"/>
    <n v="8"/>
    <n v="11"/>
    <n v="13"/>
    <n v="3"/>
    <n v="0"/>
    <n v="9"/>
    <n v="15"/>
    <n v="12"/>
    <n v="8"/>
    <n v="6"/>
    <n v="4"/>
    <n v="0"/>
    <n v="6"/>
    <n v="8"/>
    <n v="5"/>
    <n v="8"/>
    <n v="10"/>
    <n v="5"/>
    <n v="0"/>
    <n v="9"/>
    <n v="6"/>
    <n v="9"/>
    <n v="8"/>
    <n v="9"/>
    <n v="4"/>
    <n v="0"/>
    <n v="195"/>
    <n v="8.25"/>
    <n v="9.75"/>
    <n v="8.5"/>
    <n v="8.75"/>
    <n v="9.5"/>
    <n v="4"/>
    <n v="0"/>
    <x v="0"/>
    <n v="8.9499999999999993"/>
    <n v="15"/>
    <n v="11.75"/>
  </r>
  <r>
    <x v="16"/>
    <n v="7"/>
    <n v="9"/>
    <n v="11"/>
    <n v="8"/>
    <n v="10"/>
    <n v="4"/>
    <n v="0"/>
    <n v="5"/>
    <n v="13"/>
    <n v="6"/>
    <n v="12"/>
    <n v="9"/>
    <n v="5"/>
    <n v="0"/>
    <n v="5"/>
    <n v="7"/>
    <n v="6"/>
    <n v="7"/>
    <n v="6"/>
    <n v="5"/>
    <n v="0"/>
    <n v="7"/>
    <n v="9"/>
    <n v="7"/>
    <n v="15"/>
    <n v="4"/>
    <n v="2"/>
    <n v="0"/>
    <n v="179"/>
    <n v="6"/>
    <n v="9.5"/>
    <n v="7.5"/>
    <n v="10.5"/>
    <n v="7.25"/>
    <n v="4"/>
    <n v="0"/>
    <x v="0"/>
    <n v="8.15"/>
    <n v="15"/>
    <n v="11.5"/>
  </r>
  <r>
    <x v="17"/>
    <n v="9"/>
    <n v="9"/>
    <n v="10"/>
    <n v="7"/>
    <n v="4"/>
    <n v="4"/>
    <n v="0"/>
    <n v="6"/>
    <n v="11"/>
    <n v="6"/>
    <n v="9"/>
    <n v="10"/>
    <n v="4"/>
    <n v="0"/>
    <n v="5"/>
    <n v="9"/>
    <n v="9"/>
    <n v="7"/>
    <n v="12"/>
    <n v="6"/>
    <n v="0"/>
    <n v="9"/>
    <n v="9"/>
    <n v="7"/>
    <n v="6"/>
    <n v="14"/>
    <n v="4"/>
    <n v="0"/>
    <n v="186"/>
    <n v="7.25"/>
    <n v="9.5"/>
    <n v="8"/>
    <n v="7.25"/>
    <n v="10"/>
    <n v="4.5"/>
    <n v="0"/>
    <x v="0"/>
    <n v="8.4"/>
    <n v="14"/>
    <n v="11.75"/>
  </r>
  <r>
    <x v="18"/>
    <n v="12"/>
    <n v="11"/>
    <n v="7"/>
    <n v="9"/>
    <n v="6"/>
    <n v="6"/>
    <n v="0"/>
    <n v="11"/>
    <n v="6"/>
    <n v="4"/>
    <n v="9"/>
    <n v="8"/>
    <n v="4"/>
    <n v="0"/>
    <n v="7"/>
    <n v="6"/>
    <n v="12"/>
    <n v="7"/>
    <n v="9"/>
    <n v="2"/>
    <n v="0"/>
    <n v="6"/>
    <n v="10"/>
    <n v="8"/>
    <n v="7"/>
    <n v="8"/>
    <n v="2"/>
    <n v="0"/>
    <n v="177"/>
    <n v="9"/>
    <n v="8.25"/>
    <n v="7.75"/>
    <n v="8"/>
    <n v="7.75"/>
    <n v="3.5"/>
    <n v="0"/>
    <x v="0"/>
    <n v="8.15"/>
    <n v="12"/>
    <n v="11.25"/>
  </r>
  <r>
    <x v="19"/>
    <n v="7"/>
    <n v="7"/>
    <n v="7"/>
    <n v="5"/>
    <n v="5"/>
    <n v="4"/>
    <n v="0"/>
    <n v="6"/>
    <n v="8"/>
    <n v="5"/>
    <n v="9"/>
    <n v="9"/>
    <n v="5"/>
    <n v="0"/>
    <n v="7"/>
    <n v="9"/>
    <n v="8"/>
    <n v="4"/>
    <n v="8"/>
    <n v="5"/>
    <n v="0"/>
    <n v="6"/>
    <n v="7"/>
    <n v="7"/>
    <n v="6"/>
    <n v="9"/>
    <n v="2"/>
    <n v="0"/>
    <n v="155"/>
    <n v="6.5"/>
    <n v="7.75"/>
    <n v="6.75"/>
    <n v="6"/>
    <n v="7.75"/>
    <n v="4"/>
    <n v="0"/>
    <x v="0"/>
    <n v="6.95"/>
    <n v="9"/>
    <n v="8.5"/>
  </r>
  <r>
    <x v="20"/>
    <n v="7"/>
    <n v="7"/>
    <n v="4"/>
    <n v="11"/>
    <n v="8"/>
    <n v="2"/>
    <n v="0"/>
    <n v="7"/>
    <n v="9"/>
    <n v="9"/>
    <n v="15"/>
    <n v="10"/>
    <n v="5"/>
    <n v="0"/>
    <n v="9"/>
    <n v="7"/>
    <n v="8"/>
    <n v="10"/>
    <n v="9"/>
    <n v="4"/>
    <n v="0"/>
    <n v="9"/>
    <n v="7"/>
    <n v="9"/>
    <n v="9"/>
    <n v="10"/>
    <n v="3"/>
    <n v="0"/>
    <n v="188"/>
    <n v="8"/>
    <n v="7.5"/>
    <n v="7.5"/>
    <n v="11.25"/>
    <n v="9.25"/>
    <n v="3.5"/>
    <n v="0"/>
    <x v="0"/>
    <n v="8.6999999999999993"/>
    <n v="15"/>
    <n v="11.5"/>
  </r>
  <r>
    <x v="21"/>
    <n v="9"/>
    <n v="9"/>
    <n v="7"/>
    <n v="9"/>
    <n v="6"/>
    <n v="4"/>
    <n v="0"/>
    <n v="6"/>
    <n v="6"/>
    <n v="9"/>
    <n v="10"/>
    <n v="8"/>
    <n v="3"/>
    <n v="0"/>
    <n v="12"/>
    <n v="6"/>
    <n v="7"/>
    <n v="7"/>
    <n v="10"/>
    <n v="4"/>
    <n v="0"/>
    <n v="9"/>
    <n v="5"/>
    <n v="6"/>
    <n v="10"/>
    <n v="8"/>
    <n v="3"/>
    <n v="0"/>
    <n v="173"/>
    <n v="9"/>
    <n v="6.5"/>
    <n v="7.25"/>
    <n v="9"/>
    <n v="8"/>
    <n v="3.5"/>
    <n v="0"/>
    <x v="0"/>
    <n v="7.95"/>
    <n v="12"/>
    <n v="10.25"/>
  </r>
  <r>
    <x v="22"/>
    <n v="9"/>
    <n v="4"/>
    <n v="4"/>
    <n v="7"/>
    <n v="13"/>
    <n v="2"/>
    <n v="0"/>
    <n v="9"/>
    <n v="7"/>
    <n v="10"/>
    <n v="9"/>
    <n v="5"/>
    <n v="3"/>
    <n v="0"/>
    <n v="3"/>
    <n v="4"/>
    <n v="9"/>
    <n v="7"/>
    <n v="7"/>
    <n v="4"/>
    <n v="0"/>
    <n v="7"/>
    <n v="7"/>
    <n v="9"/>
    <n v="7"/>
    <n v="6"/>
    <n v="6"/>
    <n v="0"/>
    <n v="158"/>
    <n v="7"/>
    <n v="5.5"/>
    <n v="8"/>
    <n v="7.5"/>
    <n v="7.75"/>
    <n v="3.75"/>
    <n v="0"/>
    <x v="0"/>
    <n v="7.15"/>
    <n v="13"/>
    <n v="10.25"/>
  </r>
  <r>
    <x v="23"/>
    <n v="8"/>
    <n v="9"/>
    <n v="5"/>
    <n v="8"/>
    <n v="5"/>
    <n v="6"/>
    <n v="0"/>
    <n v="5"/>
    <n v="9"/>
    <n v="9"/>
    <n v="3"/>
    <n v="10"/>
    <n v="6"/>
    <n v="0"/>
    <n v="7"/>
    <n v="8"/>
    <n v="10"/>
    <n v="10"/>
    <n v="8"/>
    <n v="6"/>
    <n v="0"/>
    <n v="5"/>
    <n v="11"/>
    <n v="8"/>
    <n v="5"/>
    <n v="8"/>
    <n v="6"/>
    <n v="0"/>
    <n v="175"/>
    <n v="6.25"/>
    <n v="9.25"/>
    <n v="8"/>
    <n v="6.5"/>
    <n v="7.75"/>
    <n v="6"/>
    <n v="0"/>
    <x v="0"/>
    <n v="7.55"/>
    <n v="11"/>
    <n v="10"/>
  </r>
  <r>
    <x v="24"/>
    <n v="8"/>
    <n v="10"/>
    <n v="8"/>
    <n v="4"/>
    <n v="8"/>
    <n v="5"/>
    <n v="0"/>
    <n v="8"/>
    <n v="11"/>
    <n v="10"/>
    <n v="8"/>
    <n v="8"/>
    <n v="2"/>
    <n v="0"/>
    <n v="11"/>
    <n v="12"/>
    <n v="12"/>
    <n v="6"/>
    <n v="9"/>
    <n v="3"/>
    <n v="0"/>
    <n v="5"/>
    <n v="7"/>
    <n v="6"/>
    <n v="6"/>
    <n v="10"/>
    <n v="5"/>
    <n v="0"/>
    <n v="182"/>
    <n v="8"/>
    <n v="10"/>
    <n v="9"/>
    <n v="6"/>
    <n v="8.75"/>
    <n v="3.75"/>
    <n v="0"/>
    <x v="0"/>
    <n v="8.35"/>
    <n v="12"/>
    <n v="10.75"/>
  </r>
  <r>
    <x v="25"/>
    <n v="6"/>
    <n v="8"/>
    <n v="7"/>
    <n v="8"/>
    <n v="11"/>
    <n v="4"/>
    <n v="0"/>
    <n v="8"/>
    <n v="5"/>
    <n v="7"/>
    <n v="11"/>
    <n v="12"/>
    <n v="2"/>
    <n v="0"/>
    <n v="8"/>
    <n v="9"/>
    <n v="5"/>
    <n v="8"/>
    <n v="8"/>
    <n v="6"/>
    <n v="0"/>
    <n v="9"/>
    <n v="8"/>
    <n v="10"/>
    <n v="7"/>
    <n v="6"/>
    <n v="2"/>
    <n v="0"/>
    <n v="175"/>
    <n v="7.75"/>
    <n v="7.5"/>
    <n v="7.25"/>
    <n v="8.5"/>
    <n v="9.25"/>
    <n v="3.5"/>
    <n v="0"/>
    <x v="0"/>
    <n v="8.0500000000000007"/>
    <n v="12"/>
    <n v="10.5"/>
  </r>
  <r>
    <x v="26"/>
    <n v="11"/>
    <n v="4"/>
    <n v="8"/>
    <n v="12"/>
    <n v="7"/>
    <n v="3"/>
    <n v="0"/>
    <n v="7"/>
    <n v="7"/>
    <n v="8"/>
    <n v="7"/>
    <n v="9"/>
    <n v="5"/>
    <n v="0"/>
    <n v="11"/>
    <n v="5"/>
    <n v="6"/>
    <n v="8"/>
    <n v="10"/>
    <n v="4"/>
    <n v="0"/>
    <n v="11"/>
    <n v="6"/>
    <n v="10"/>
    <n v="4"/>
    <n v="9"/>
    <n v="5"/>
    <n v="0"/>
    <n v="177"/>
    <n v="10"/>
    <n v="5.5"/>
    <n v="8"/>
    <n v="7.75"/>
    <n v="8.75"/>
    <n v="4.25"/>
    <n v="0"/>
    <x v="0"/>
    <n v="8"/>
    <n v="12"/>
    <n v="10.75"/>
  </r>
  <r>
    <x v="27"/>
    <n v="6"/>
    <n v="9"/>
    <n v="12"/>
    <n v="6"/>
    <n v="11"/>
    <n v="3"/>
    <n v="0"/>
    <n v="10"/>
    <n v="10"/>
    <n v="9"/>
    <n v="8"/>
    <n v="6"/>
    <n v="3"/>
    <n v="0"/>
    <n v="8"/>
    <n v="10"/>
    <n v="5"/>
    <n v="11"/>
    <n v="7"/>
    <n v="2"/>
    <n v="0"/>
    <n v="9"/>
    <n v="8"/>
    <n v="5"/>
    <n v="5"/>
    <n v="8"/>
    <n v="4"/>
    <n v="0"/>
    <n v="175"/>
    <n v="8.25"/>
    <n v="9.25"/>
    <n v="7.75"/>
    <n v="7.5"/>
    <n v="8"/>
    <n v="3"/>
    <n v="0"/>
    <x v="0"/>
    <n v="8.15"/>
    <n v="12"/>
    <n v="10.5"/>
  </r>
  <r>
    <x v="28"/>
    <n v="6"/>
    <n v="5"/>
    <n v="7"/>
    <n v="5"/>
    <n v="2"/>
    <n v="0"/>
    <n v="0"/>
    <n v="5"/>
    <n v="5"/>
    <n v="3"/>
    <n v="3"/>
    <n v="3"/>
    <n v="0"/>
    <n v="0"/>
    <n v="3"/>
    <n v="6"/>
    <n v="6"/>
    <n v="4"/>
    <n v="3"/>
    <n v="0"/>
    <n v="0"/>
    <n v="4"/>
    <n v="2"/>
    <n v="3"/>
    <n v="5"/>
    <n v="5"/>
    <n v="0"/>
    <n v="0"/>
    <n v="85"/>
    <n v="4.5"/>
    <n v="4.5"/>
    <n v="4.75"/>
    <n v="4.25"/>
    <n v="3.25"/>
    <n v="0"/>
    <n v="0"/>
    <x v="0"/>
    <n v="4.25"/>
    <n v="7"/>
    <n v="5.75"/>
  </r>
  <r>
    <x v="29"/>
    <n v="3"/>
    <n v="4"/>
    <n v="2"/>
    <n v="4"/>
    <n v="3"/>
    <n v="0"/>
    <n v="0"/>
    <n v="7"/>
    <n v="5"/>
    <n v="3"/>
    <n v="9"/>
    <n v="4"/>
    <n v="0"/>
    <n v="0"/>
    <n v="4"/>
    <n v="3"/>
    <n v="3"/>
    <n v="2"/>
    <n v="3"/>
    <n v="0"/>
    <n v="0"/>
    <n v="2"/>
    <n v="3"/>
    <n v="4"/>
    <n v="4"/>
    <n v="5"/>
    <n v="0"/>
    <n v="0"/>
    <n v="77"/>
    <n v="4"/>
    <n v="3.75"/>
    <n v="3"/>
    <n v="4.75"/>
    <n v="3.75"/>
    <n v="0"/>
    <n v="0"/>
    <x v="0"/>
    <n v="3.85"/>
    <n v="9"/>
    <n v="5.5"/>
  </r>
  <r>
    <x v="30"/>
    <n v="9"/>
    <n v="5"/>
    <n v="12"/>
    <n v="6"/>
    <n v="9"/>
    <n v="2"/>
    <n v="0"/>
    <n v="5"/>
    <n v="9"/>
    <n v="10"/>
    <n v="6"/>
    <n v="6"/>
    <n v="3"/>
    <n v="0"/>
    <n v="11"/>
    <n v="4"/>
    <n v="10"/>
    <n v="5"/>
    <n v="11"/>
    <n v="3"/>
    <n v="0"/>
    <n v="7"/>
    <n v="12"/>
    <n v="11"/>
    <n v="10"/>
    <n v="7"/>
    <n v="6"/>
    <n v="0"/>
    <n v="179"/>
    <n v="8"/>
    <n v="7.5"/>
    <n v="10.75"/>
    <n v="6.75"/>
    <n v="8.25"/>
    <n v="3.5"/>
    <n v="0"/>
    <x v="0"/>
    <n v="8.25"/>
    <n v="12"/>
    <n v="11.25"/>
  </r>
  <r>
    <x v="31"/>
    <n v="9"/>
    <n v="6"/>
    <n v="10"/>
    <n v="5"/>
    <n v="6"/>
    <n v="5"/>
    <n v="0"/>
    <n v="10"/>
    <n v="11"/>
    <n v="10"/>
    <n v="4"/>
    <n v="11"/>
    <n v="3"/>
    <n v="0"/>
    <n v="3"/>
    <n v="6"/>
    <n v="10"/>
    <n v="8"/>
    <n v="13"/>
    <n v="6"/>
    <n v="0"/>
    <n v="5"/>
    <n v="5"/>
    <n v="5"/>
    <n v="8"/>
    <n v="8"/>
    <n v="5"/>
    <n v="0"/>
    <n v="172"/>
    <n v="6.75"/>
    <n v="7"/>
    <n v="8.75"/>
    <n v="6.25"/>
    <n v="9.5"/>
    <n v="4.75"/>
    <n v="0"/>
    <x v="0"/>
    <n v="7.65"/>
    <n v="13"/>
    <n v="10.5"/>
  </r>
  <r>
    <x v="32"/>
    <n v="6"/>
    <n v="9"/>
    <n v="6"/>
    <n v="7"/>
    <n v="10"/>
    <n v="4"/>
    <n v="0"/>
    <n v="11"/>
    <n v="8"/>
    <n v="5"/>
    <n v="8"/>
    <n v="6"/>
    <n v="5"/>
    <n v="0"/>
    <n v="8"/>
    <n v="7"/>
    <n v="5"/>
    <n v="7"/>
    <n v="8"/>
    <n v="2"/>
    <n v="0"/>
    <n v="10"/>
    <n v="9"/>
    <n v="11"/>
    <n v="9"/>
    <n v="10"/>
    <n v="6"/>
    <n v="0"/>
    <n v="177"/>
    <n v="8.75"/>
    <n v="8.25"/>
    <n v="6.75"/>
    <n v="7.75"/>
    <n v="8.5"/>
    <n v="4.25"/>
    <n v="0"/>
    <x v="0"/>
    <n v="8"/>
    <n v="11"/>
    <n v="10"/>
  </r>
  <r>
    <x v="33"/>
    <n v="9"/>
    <n v="6"/>
    <n v="8"/>
    <n v="3"/>
    <n v="8"/>
    <n v="6"/>
    <n v="0"/>
    <n v="13"/>
    <n v="12"/>
    <n v="7"/>
    <n v="12"/>
    <n v="6"/>
    <n v="3"/>
    <n v="0"/>
    <n v="8"/>
    <n v="7"/>
    <n v="7"/>
    <n v="8"/>
    <n v="9"/>
    <n v="4"/>
    <n v="0"/>
    <n v="12"/>
    <n v="9"/>
    <n v="12"/>
    <n v="6"/>
    <n v="9"/>
    <n v="2"/>
    <n v="0"/>
    <n v="186"/>
    <n v="10.5"/>
    <n v="8.5"/>
    <n v="8.5"/>
    <n v="7.25"/>
    <n v="8"/>
    <n v="3.75"/>
    <n v="0"/>
    <x v="0"/>
    <n v="8.5500000000000007"/>
    <n v="13"/>
    <n v="10.75"/>
  </r>
  <r>
    <x v="34"/>
    <n v="7"/>
    <n v="6"/>
    <n v="11"/>
    <n v="6"/>
    <n v="9"/>
    <n v="2"/>
    <n v="0"/>
    <n v="5"/>
    <n v="11"/>
    <n v="11"/>
    <n v="3"/>
    <n v="12"/>
    <n v="4"/>
    <n v="0"/>
    <n v="4"/>
    <n v="5"/>
    <n v="6"/>
    <n v="11"/>
    <n v="8"/>
    <n v="4"/>
    <n v="0"/>
    <n v="6"/>
    <n v="6"/>
    <n v="8"/>
    <n v="11"/>
    <n v="4"/>
    <n v="3"/>
    <n v="0"/>
    <n v="163"/>
    <n v="5.5"/>
    <n v="7"/>
    <n v="9"/>
    <n v="7.75"/>
    <n v="8.25"/>
    <n v="3.25"/>
    <n v="0"/>
    <x v="0"/>
    <n v="7.5"/>
    <n v="12"/>
    <n v="11.25"/>
  </r>
  <r>
    <x v="35"/>
    <n v="7"/>
    <n v="6"/>
    <n v="6"/>
    <n v="6"/>
    <n v="10"/>
    <n v="3"/>
    <n v="0"/>
    <n v="9"/>
    <n v="6"/>
    <n v="6"/>
    <n v="11"/>
    <n v="9"/>
    <n v="6"/>
    <n v="0"/>
    <n v="6"/>
    <n v="5"/>
    <n v="6"/>
    <n v="6"/>
    <n v="9"/>
    <n v="3"/>
    <n v="0"/>
    <n v="7"/>
    <n v="9"/>
    <n v="7"/>
    <n v="8"/>
    <n v="10"/>
    <n v="6"/>
    <n v="0"/>
    <n v="167"/>
    <n v="7.25"/>
    <n v="6.5"/>
    <n v="6.25"/>
    <n v="7.75"/>
    <n v="9.5"/>
    <n v="4.5"/>
    <n v="0"/>
    <x v="0"/>
    <n v="7.45"/>
    <n v="11"/>
    <n v="10"/>
  </r>
  <r>
    <x v="36"/>
    <n v="11"/>
    <n v="10"/>
    <n v="9"/>
    <n v="5"/>
    <n v="9"/>
    <n v="2"/>
    <n v="0"/>
    <n v="8"/>
    <n v="9"/>
    <n v="7"/>
    <n v="6"/>
    <n v="8"/>
    <n v="6"/>
    <n v="0"/>
    <n v="5"/>
    <n v="5"/>
    <n v="10"/>
    <n v="11"/>
    <n v="9"/>
    <n v="2"/>
    <n v="0"/>
    <n v="6"/>
    <n v="8"/>
    <n v="5"/>
    <n v="11"/>
    <n v="6"/>
    <n v="3"/>
    <n v="0"/>
    <n v="171"/>
    <n v="7.5"/>
    <n v="8"/>
    <n v="7.75"/>
    <n v="8.25"/>
    <n v="8"/>
    <n v="3.25"/>
    <n v="0"/>
    <x v="0"/>
    <n v="7.9"/>
    <n v="11"/>
    <n v="10.5"/>
  </r>
  <r>
    <x v="37"/>
    <n v="7"/>
    <n v="7"/>
    <n v="7"/>
    <n v="11"/>
    <n v="6"/>
    <n v="6"/>
    <n v="0"/>
    <n v="4"/>
    <n v="7"/>
    <n v="8"/>
    <n v="10"/>
    <n v="9"/>
    <n v="3"/>
    <n v="0"/>
    <n v="4"/>
    <n v="6"/>
    <n v="7"/>
    <n v="8"/>
    <n v="11"/>
    <n v="2"/>
    <n v="0"/>
    <n v="12"/>
    <n v="8"/>
    <n v="6"/>
    <n v="9"/>
    <n v="7"/>
    <n v="4"/>
    <n v="0"/>
    <n v="169"/>
    <n v="6.75"/>
    <n v="7"/>
    <n v="7"/>
    <n v="9.5"/>
    <n v="8.25"/>
    <n v="3.75"/>
    <n v="0"/>
    <x v="0"/>
    <n v="7.7"/>
    <n v="12"/>
    <n v="11"/>
  </r>
  <r>
    <x v="38"/>
    <n v="11"/>
    <n v="8"/>
    <n v="5"/>
    <n v="6"/>
    <n v="7"/>
    <n v="2"/>
    <n v="0"/>
    <n v="8"/>
    <n v="5"/>
    <n v="8"/>
    <n v="7"/>
    <n v="10"/>
    <n v="4"/>
    <n v="0"/>
    <n v="6"/>
    <n v="10"/>
    <n v="8"/>
    <n v="10"/>
    <n v="4"/>
    <n v="3"/>
    <n v="0"/>
    <n v="10"/>
    <n v="8"/>
    <n v="8"/>
    <n v="4"/>
    <n v="8"/>
    <n v="4"/>
    <n v="0"/>
    <n v="164"/>
    <n v="8.75"/>
    <n v="7.75"/>
    <n v="7.25"/>
    <n v="6.75"/>
    <n v="7.25"/>
    <n v="3.25"/>
    <n v="0"/>
    <x v="0"/>
    <n v="7.55"/>
    <n v="11"/>
    <n v="10.25"/>
  </r>
  <r>
    <x v="39"/>
    <n v="7"/>
    <n v="5"/>
    <n v="4"/>
    <n v="7"/>
    <n v="5"/>
    <n v="3"/>
    <n v="0"/>
    <n v="8"/>
    <n v="6"/>
    <n v="6"/>
    <n v="5"/>
    <n v="5"/>
    <n v="3"/>
    <n v="0"/>
    <n v="5"/>
    <n v="8"/>
    <n v="7"/>
    <n v="7"/>
    <n v="7"/>
    <n v="6"/>
    <n v="0"/>
    <n v="11"/>
    <n v="8"/>
    <n v="13"/>
    <n v="10"/>
    <n v="10"/>
    <n v="6"/>
    <n v="0"/>
    <n v="162"/>
    <n v="7.75"/>
    <n v="6.75"/>
    <n v="7.5"/>
    <n v="7.25"/>
    <n v="6.75"/>
    <n v="4.5"/>
    <n v="0"/>
    <x v="0"/>
    <n v="7.2"/>
    <n v="13"/>
    <n v="9"/>
  </r>
  <r>
    <x v="40"/>
    <n v="9"/>
    <n v="10"/>
    <n v="8"/>
    <n v="5"/>
    <n v="8"/>
    <n v="3"/>
    <n v="0"/>
    <n v="9"/>
    <n v="11"/>
    <n v="8"/>
    <n v="12"/>
    <n v="7"/>
    <n v="2"/>
    <n v="0"/>
    <n v="7"/>
    <n v="13"/>
    <n v="8"/>
    <n v="10"/>
    <n v="7"/>
    <n v="4"/>
    <n v="0"/>
    <n v="6"/>
    <n v="11"/>
    <n v="7"/>
    <n v="12"/>
    <n v="7"/>
    <n v="2"/>
    <n v="0"/>
    <n v="186"/>
    <n v="7.75"/>
    <n v="11.25"/>
    <n v="7.75"/>
    <n v="9.75"/>
    <n v="7.25"/>
    <n v="2.75"/>
    <n v="0"/>
    <x v="0"/>
    <n v="8.75"/>
    <n v="13"/>
    <n v="11.75"/>
  </r>
  <r>
    <x v="41"/>
    <n v="6"/>
    <n v="10"/>
    <n v="7"/>
    <n v="11"/>
    <n v="12"/>
    <n v="3"/>
    <n v="0"/>
    <n v="8"/>
    <n v="3"/>
    <n v="11"/>
    <n v="11"/>
    <n v="9"/>
    <n v="4"/>
    <n v="0"/>
    <n v="11"/>
    <n v="9"/>
    <n v="9"/>
    <n v="5"/>
    <n v="10"/>
    <n v="4"/>
    <n v="0"/>
    <n v="13"/>
    <n v="5"/>
    <n v="6"/>
    <n v="6"/>
    <n v="11"/>
    <n v="2"/>
    <n v="0"/>
    <n v="186"/>
    <n v="9.5"/>
    <n v="6.75"/>
    <n v="8.25"/>
    <n v="8.25"/>
    <n v="10.5"/>
    <n v="3.25"/>
    <n v="0"/>
    <x v="0"/>
    <n v="8.65"/>
    <n v="13"/>
    <n v="11.75"/>
  </r>
  <r>
    <x v="42"/>
    <n v="7"/>
    <n v="8"/>
    <n v="9"/>
    <n v="14"/>
    <n v="7"/>
    <n v="3"/>
    <n v="0"/>
    <n v="8"/>
    <n v="11"/>
    <n v="11"/>
    <n v="8"/>
    <n v="10"/>
    <n v="5"/>
    <n v="0"/>
    <n v="6"/>
    <n v="6"/>
    <n v="5"/>
    <n v="10"/>
    <n v="6"/>
    <n v="5"/>
    <n v="0"/>
    <n v="8"/>
    <n v="5"/>
    <n v="8"/>
    <n v="8"/>
    <n v="9"/>
    <n v="5"/>
    <n v="0"/>
    <n v="182"/>
    <n v="7.25"/>
    <n v="7.5"/>
    <n v="8.25"/>
    <n v="10"/>
    <n v="8"/>
    <n v="4.5"/>
    <n v="0"/>
    <x v="0"/>
    <n v="8.1999999999999993"/>
    <n v="14"/>
    <n v="11"/>
  </r>
  <r>
    <x v="43"/>
    <n v="8"/>
    <n v="11"/>
    <n v="7"/>
    <n v="9"/>
    <n v="8"/>
    <n v="6"/>
    <n v="0"/>
    <n v="4"/>
    <n v="8"/>
    <n v="7"/>
    <n v="13"/>
    <n v="6"/>
    <n v="5"/>
    <n v="0"/>
    <n v="8"/>
    <n v="9"/>
    <n v="12"/>
    <n v="8"/>
    <n v="8"/>
    <n v="3"/>
    <n v="0"/>
    <n v="7"/>
    <n v="10"/>
    <n v="11"/>
    <n v="7"/>
    <n v="10"/>
    <n v="5"/>
    <n v="0"/>
    <n v="190"/>
    <n v="6.75"/>
    <n v="9.5"/>
    <n v="9.25"/>
    <n v="9.25"/>
    <n v="8"/>
    <n v="4.75"/>
    <n v="0"/>
    <x v="0"/>
    <n v="8.5500000000000007"/>
    <n v="13"/>
    <n v="11.75"/>
  </r>
  <r>
    <x v="44"/>
    <n v="9"/>
    <n v="7"/>
    <n v="7"/>
    <n v="10"/>
    <n v="6"/>
    <n v="5"/>
    <n v="0"/>
    <n v="10"/>
    <n v="7"/>
    <n v="7"/>
    <n v="7"/>
    <n v="8"/>
    <n v="2"/>
    <n v="0"/>
    <n v="10"/>
    <n v="5"/>
    <n v="5"/>
    <n v="8"/>
    <n v="8"/>
    <n v="3"/>
    <n v="0"/>
    <n v="5"/>
    <n v="7"/>
    <n v="4"/>
    <n v="10"/>
    <n v="4"/>
    <n v="4"/>
    <n v="0"/>
    <n v="158"/>
    <n v="8.5"/>
    <n v="6.5"/>
    <n v="5.75"/>
    <n v="8.75"/>
    <n v="6.5"/>
    <n v="3.5"/>
    <n v="0"/>
    <x v="0"/>
    <n v="7.2"/>
    <n v="10"/>
    <n v="10"/>
  </r>
  <r>
    <x v="45"/>
    <n v="10"/>
    <n v="6"/>
    <n v="6"/>
    <n v="12"/>
    <n v="4"/>
    <n v="2"/>
    <n v="0"/>
    <n v="5"/>
    <n v="7"/>
    <n v="6"/>
    <n v="5"/>
    <n v="8"/>
    <n v="4"/>
    <n v="0"/>
    <n v="5"/>
    <n v="6"/>
    <n v="13"/>
    <n v="5"/>
    <n v="9"/>
    <n v="2"/>
    <n v="0"/>
    <n v="7"/>
    <n v="10"/>
    <n v="5"/>
    <n v="6"/>
    <n v="6"/>
    <n v="4"/>
    <n v="0"/>
    <n v="153"/>
    <n v="6.75"/>
    <n v="7.25"/>
    <n v="7.5"/>
    <n v="7"/>
    <n v="6.75"/>
    <n v="3"/>
    <n v="0"/>
    <x v="0"/>
    <n v="7.05"/>
    <n v="13"/>
    <n v="10.75"/>
  </r>
  <r>
    <x v="46"/>
    <n v="9"/>
    <n v="7"/>
    <n v="8"/>
    <n v="8"/>
    <n v="7"/>
    <n v="2"/>
    <n v="0"/>
    <n v="8"/>
    <n v="9"/>
    <n v="9"/>
    <n v="12"/>
    <n v="10"/>
    <n v="2"/>
    <n v="0"/>
    <n v="10"/>
    <n v="10"/>
    <n v="10"/>
    <n v="5"/>
    <n v="10"/>
    <n v="5"/>
    <n v="0"/>
    <n v="6"/>
    <n v="11"/>
    <n v="6"/>
    <n v="6"/>
    <n v="9"/>
    <n v="4"/>
    <n v="0"/>
    <n v="183"/>
    <n v="8.25"/>
    <n v="9.25"/>
    <n v="8.25"/>
    <n v="7.75"/>
    <n v="9"/>
    <n v="3.25"/>
    <n v="0"/>
    <x v="0"/>
    <n v="8.5"/>
    <n v="12"/>
    <n v="10.5"/>
  </r>
  <r>
    <x v="47"/>
    <n v="7"/>
    <n v="7"/>
    <n v="8"/>
    <n v="8"/>
    <n v="9"/>
    <n v="2"/>
    <n v="0"/>
    <n v="10"/>
    <n v="8"/>
    <n v="5"/>
    <n v="15"/>
    <n v="3"/>
    <n v="2"/>
    <n v="0"/>
    <n v="11"/>
    <n v="5"/>
    <n v="5"/>
    <n v="10"/>
    <n v="10"/>
    <n v="5"/>
    <n v="0"/>
    <n v="7"/>
    <n v="6"/>
    <n v="12"/>
    <n v="7"/>
    <n v="11"/>
    <n v="5"/>
    <n v="0"/>
    <n v="178"/>
    <n v="8.75"/>
    <n v="6.5"/>
    <n v="7.5"/>
    <n v="10"/>
    <n v="8.25"/>
    <n v="3.5"/>
    <n v="0"/>
    <x v="0"/>
    <n v="8.1999999999999993"/>
    <n v="15"/>
    <n v="11.75"/>
  </r>
  <r>
    <x v="48"/>
    <n v="6"/>
    <n v="10"/>
    <n v="10"/>
    <n v="3"/>
    <n v="15"/>
    <n v="5"/>
    <n v="0"/>
    <n v="8"/>
    <n v="10"/>
    <n v="8"/>
    <n v="9"/>
    <n v="8"/>
    <n v="5"/>
    <n v="0"/>
    <n v="8"/>
    <n v="9"/>
    <n v="10"/>
    <n v="6"/>
    <n v="10"/>
    <n v="5"/>
    <n v="0"/>
    <n v="5"/>
    <n v="6"/>
    <n v="5"/>
    <n v="9"/>
    <n v="5"/>
    <n v="3"/>
    <n v="0"/>
    <n v="178"/>
    <n v="6.75"/>
    <n v="8.75"/>
    <n v="8.25"/>
    <n v="6.75"/>
    <n v="9.5"/>
    <n v="4.5"/>
    <n v="0"/>
    <x v="0"/>
    <n v="8"/>
    <n v="15"/>
    <n v="11"/>
  </r>
  <r>
    <x v="49"/>
    <n v="5"/>
    <n v="7"/>
    <n v="4"/>
    <n v="7"/>
    <n v="8"/>
    <n v="2"/>
    <n v="0"/>
    <n v="8"/>
    <n v="7"/>
    <n v="5"/>
    <n v="6"/>
    <n v="8"/>
    <n v="2"/>
    <n v="0"/>
    <n v="8"/>
    <n v="5"/>
    <n v="9"/>
    <n v="8"/>
    <n v="10"/>
    <n v="4"/>
    <n v="0"/>
    <n v="10"/>
    <n v="6"/>
    <n v="13"/>
    <n v="8"/>
    <n v="12"/>
    <n v="2"/>
    <n v="0"/>
    <n v="164"/>
    <n v="7.75"/>
    <n v="6.25"/>
    <n v="7.75"/>
    <n v="7.25"/>
    <n v="9.5"/>
    <n v="2.5"/>
    <n v="0"/>
    <x v="0"/>
    <n v="7.7"/>
    <n v="13"/>
    <n v="9.75"/>
  </r>
  <r>
    <x v="50"/>
    <n v="9"/>
    <n v="10"/>
    <n v="6"/>
    <n v="11"/>
    <n v="4"/>
    <n v="2"/>
    <n v="0"/>
    <n v="12"/>
    <n v="4"/>
    <n v="6"/>
    <n v="6"/>
    <n v="8"/>
    <n v="2"/>
    <n v="0"/>
    <n v="6"/>
    <n v="9"/>
    <n v="6"/>
    <n v="6"/>
    <n v="8"/>
    <n v="5"/>
    <n v="0"/>
    <n v="8"/>
    <n v="8"/>
    <n v="5"/>
    <n v="8"/>
    <n v="12"/>
    <n v="6"/>
    <n v="0"/>
    <n v="167"/>
    <n v="8.75"/>
    <n v="7.75"/>
    <n v="5.75"/>
    <n v="7.75"/>
    <n v="8"/>
    <n v="3.75"/>
    <n v="0"/>
    <x v="0"/>
    <n v="7.6"/>
    <n v="12"/>
    <n v="11"/>
  </r>
  <r>
    <x v="51"/>
    <n v="8"/>
    <n v="7"/>
    <n v="11"/>
    <n v="7"/>
    <n v="12"/>
    <n v="5"/>
    <n v="0"/>
    <n v="9"/>
    <n v="9"/>
    <n v="7"/>
    <n v="8"/>
    <n v="6"/>
    <n v="4"/>
    <n v="0"/>
    <n v="6"/>
    <n v="8"/>
    <n v="9"/>
    <n v="5"/>
    <n v="4"/>
    <n v="2"/>
    <n v="0"/>
    <n v="9"/>
    <n v="10"/>
    <n v="5"/>
    <n v="8"/>
    <n v="10"/>
    <n v="3"/>
    <n v="0"/>
    <n v="172"/>
    <n v="8"/>
    <n v="8.5"/>
    <n v="8"/>
    <n v="7"/>
    <n v="8"/>
    <n v="3.5"/>
    <n v="0"/>
    <x v="0"/>
    <n v="7.9"/>
    <n v="12"/>
    <n v="10"/>
  </r>
  <r>
    <x v="52"/>
    <n v="10"/>
    <n v="12"/>
    <n v="11"/>
    <n v="9"/>
    <n v="11"/>
    <n v="2"/>
    <n v="0"/>
    <n v="9"/>
    <n v="11"/>
    <n v="8"/>
    <n v="7"/>
    <n v="7"/>
    <n v="4"/>
    <n v="0"/>
    <n v="13"/>
    <n v="14"/>
    <n v="7"/>
    <n v="7"/>
    <n v="8"/>
    <n v="4"/>
    <n v="0"/>
    <n v="6"/>
    <n v="6"/>
    <n v="7"/>
    <n v="10"/>
    <n v="8"/>
    <n v="6"/>
    <n v="0"/>
    <n v="197"/>
    <n v="9.5"/>
    <n v="10.75"/>
    <n v="8.25"/>
    <n v="8.25"/>
    <n v="8.5"/>
    <n v="4"/>
    <n v="0"/>
    <x v="0"/>
    <n v="9.0500000000000007"/>
    <n v="14"/>
    <n v="11.75"/>
  </r>
  <r>
    <x v="53"/>
    <n v="15"/>
    <n v="7"/>
    <n v="8"/>
    <n v="13"/>
    <n v="12"/>
    <n v="5"/>
    <n v="0"/>
    <n v="4"/>
    <n v="10"/>
    <n v="9"/>
    <n v="8"/>
    <n v="10"/>
    <n v="5"/>
    <n v="0"/>
    <n v="14"/>
    <n v="9"/>
    <n v="10"/>
    <n v="6"/>
    <n v="10"/>
    <n v="2"/>
    <n v="0"/>
    <n v="8"/>
    <n v="8"/>
    <n v="8"/>
    <n v="8"/>
    <n v="11"/>
    <n v="4"/>
    <n v="0"/>
    <n v="204"/>
    <n v="10.25"/>
    <n v="8.5"/>
    <n v="8.75"/>
    <n v="8.75"/>
    <n v="10.75"/>
    <n v="4"/>
    <n v="0"/>
    <x v="0"/>
    <n v="9.4"/>
    <n v="15"/>
    <n v="12.5"/>
  </r>
  <r>
    <x v="54"/>
    <n v="7"/>
    <n v="6"/>
    <n v="6"/>
    <n v="9"/>
    <n v="5"/>
    <n v="5"/>
    <n v="0"/>
    <n v="6"/>
    <n v="10"/>
    <n v="13"/>
    <n v="7"/>
    <n v="7"/>
    <n v="6"/>
    <n v="0"/>
    <n v="5"/>
    <n v="13"/>
    <n v="10"/>
    <n v="8"/>
    <n v="8"/>
    <n v="5"/>
    <n v="0"/>
    <n v="11"/>
    <n v="8"/>
    <n v="9"/>
    <n v="8"/>
    <n v="7"/>
    <n v="6"/>
    <n v="0"/>
    <n v="185"/>
    <n v="7.25"/>
    <n v="9.25"/>
    <n v="9.5"/>
    <n v="8"/>
    <n v="6.75"/>
    <n v="5.5"/>
    <n v="0"/>
    <x v="0"/>
    <n v="8.15"/>
    <n v="13"/>
    <n v="11.5"/>
  </r>
  <r>
    <x v="55"/>
    <n v="5"/>
    <n v="6"/>
    <n v="3"/>
    <n v="2"/>
    <n v="4"/>
    <n v="0"/>
    <n v="0"/>
    <n v="5"/>
    <n v="4"/>
    <n v="3"/>
    <n v="5"/>
    <n v="2"/>
    <n v="0"/>
    <n v="0"/>
    <n v="5"/>
    <n v="4"/>
    <n v="3"/>
    <n v="3"/>
    <n v="4"/>
    <n v="0"/>
    <n v="0"/>
    <n v="3"/>
    <n v="5"/>
    <n v="8"/>
    <n v="5"/>
    <n v="3"/>
    <n v="0"/>
    <n v="0"/>
    <n v="82"/>
    <n v="4.5"/>
    <n v="4.75"/>
    <n v="4.25"/>
    <n v="3.75"/>
    <n v="3.25"/>
    <n v="0"/>
    <n v="0"/>
    <x v="1"/>
    <n v="4.0999999999999996"/>
    <n v="8"/>
    <n v="6"/>
  </r>
  <r>
    <x v="56"/>
    <n v="3"/>
    <n v="5"/>
    <n v="6"/>
    <n v="2"/>
    <n v="4"/>
    <n v="0"/>
    <n v="0"/>
    <n v="3"/>
    <n v="8"/>
    <n v="5"/>
    <n v="4"/>
    <n v="4"/>
    <n v="0"/>
    <n v="0"/>
    <n v="4"/>
    <n v="3"/>
    <n v="4"/>
    <n v="6"/>
    <n v="5"/>
    <n v="0"/>
    <n v="0"/>
    <n v="6"/>
    <n v="5"/>
    <n v="4"/>
    <n v="8"/>
    <n v="3"/>
    <n v="0"/>
    <n v="0"/>
    <n v="92"/>
    <n v="4"/>
    <n v="5.25"/>
    <n v="4.75"/>
    <n v="5"/>
    <n v="4"/>
    <n v="0"/>
    <n v="0"/>
    <x v="1"/>
    <n v="4.5999999999999996"/>
    <n v="8"/>
    <n v="7"/>
  </r>
  <r>
    <x v="57"/>
    <n v="7"/>
    <n v="5"/>
    <n v="3"/>
    <n v="2"/>
    <n v="5"/>
    <n v="0"/>
    <n v="0"/>
    <n v="4"/>
    <n v="6"/>
    <n v="4"/>
    <n v="6"/>
    <n v="5"/>
    <n v="0"/>
    <n v="0"/>
    <n v="8"/>
    <n v="3"/>
    <n v="6"/>
    <n v="2"/>
    <n v="6"/>
    <n v="0"/>
    <n v="0"/>
    <n v="5"/>
    <n v="3"/>
    <n v="7"/>
    <n v="2"/>
    <n v="3"/>
    <n v="0"/>
    <n v="0"/>
    <n v="92"/>
    <n v="6"/>
    <n v="4.25"/>
    <n v="5"/>
    <n v="3"/>
    <n v="4.75"/>
    <n v="0"/>
    <n v="0"/>
    <x v="1"/>
    <n v="4.5999999999999996"/>
    <n v="8"/>
    <n v="7"/>
  </r>
  <r>
    <x v="58"/>
    <n v="4"/>
    <n v="2"/>
    <n v="5"/>
    <n v="5"/>
    <n v="5"/>
    <n v="0"/>
    <n v="0"/>
    <n v="4"/>
    <n v="2"/>
    <n v="4"/>
    <n v="3"/>
    <n v="3"/>
    <n v="0"/>
    <n v="0"/>
    <n v="4"/>
    <n v="2"/>
    <n v="5"/>
    <n v="2"/>
    <n v="5"/>
    <n v="0"/>
    <n v="0"/>
    <n v="5"/>
    <n v="4"/>
    <n v="3"/>
    <n v="5"/>
    <n v="3"/>
    <n v="0"/>
    <n v="0"/>
    <n v="75"/>
    <n v="4.25"/>
    <n v="2.5"/>
    <n v="4.25"/>
    <n v="3.75"/>
    <n v="4"/>
    <n v="0"/>
    <n v="0"/>
    <x v="1"/>
    <n v="3.75"/>
    <n v="5"/>
    <n v="4.75"/>
  </r>
  <r>
    <x v="59"/>
    <n v="3"/>
    <n v="5"/>
    <n v="3"/>
    <n v="7"/>
    <n v="5"/>
    <n v="0"/>
    <n v="0"/>
    <n v="4"/>
    <n v="4"/>
    <n v="6"/>
    <n v="5"/>
    <n v="5"/>
    <n v="0"/>
    <n v="0"/>
    <n v="3"/>
    <n v="4"/>
    <n v="5"/>
    <n v="5"/>
    <n v="2"/>
    <n v="0"/>
    <n v="0"/>
    <n v="4"/>
    <n v="7"/>
    <n v="6"/>
    <n v="8"/>
    <n v="4"/>
    <n v="0"/>
    <n v="0"/>
    <n v="95"/>
    <n v="3.5"/>
    <n v="5"/>
    <n v="5"/>
    <n v="6.25"/>
    <n v="4"/>
    <n v="0"/>
    <n v="0"/>
    <x v="1"/>
    <n v="4.75"/>
    <n v="8"/>
    <n v="6.5"/>
  </r>
  <r>
    <x v="60"/>
    <n v="3"/>
    <n v="2"/>
    <n v="6"/>
    <n v="6"/>
    <n v="4"/>
    <n v="0"/>
    <n v="0"/>
    <n v="3"/>
    <n v="8"/>
    <n v="5"/>
    <n v="3"/>
    <n v="3"/>
    <n v="0"/>
    <n v="0"/>
    <n v="4"/>
    <n v="5"/>
    <n v="2"/>
    <n v="5"/>
    <n v="5"/>
    <n v="0"/>
    <n v="0"/>
    <n v="5"/>
    <n v="5"/>
    <n v="5"/>
    <n v="5"/>
    <n v="5"/>
    <n v="0"/>
    <n v="0"/>
    <n v="89"/>
    <n v="3.75"/>
    <n v="5"/>
    <n v="4.5"/>
    <n v="4.75"/>
    <n v="4.25"/>
    <n v="0"/>
    <n v="0"/>
    <x v="2"/>
    <n v="4.45"/>
    <n v="8"/>
    <n v="6"/>
  </r>
  <r>
    <x v="61"/>
    <n v="6"/>
    <n v="7"/>
    <n v="4"/>
    <n v="3"/>
    <n v="5"/>
    <n v="0"/>
    <n v="0"/>
    <n v="4"/>
    <n v="6"/>
    <n v="4"/>
    <n v="3"/>
    <n v="7"/>
    <n v="0"/>
    <n v="0"/>
    <n v="7"/>
    <n v="5"/>
    <n v="3"/>
    <n v="5"/>
    <n v="3"/>
    <n v="0"/>
    <n v="0"/>
    <n v="5"/>
    <n v="4"/>
    <n v="5"/>
    <n v="4"/>
    <n v="3"/>
    <n v="0"/>
    <n v="0"/>
    <n v="93"/>
    <n v="5.5"/>
    <n v="5.5"/>
    <n v="4"/>
    <n v="3.75"/>
    <n v="4.5"/>
    <n v="0"/>
    <n v="0"/>
    <x v="2"/>
    <n v="4.6500000000000004"/>
    <n v="7"/>
    <n v="6.5"/>
  </r>
  <r>
    <x v="62"/>
    <n v="4"/>
    <n v="2"/>
    <n v="2"/>
    <n v="6"/>
    <n v="3"/>
    <n v="0"/>
    <n v="0"/>
    <n v="7"/>
    <n v="6"/>
    <n v="6"/>
    <n v="5"/>
    <n v="4"/>
    <n v="0"/>
    <n v="0"/>
    <n v="6"/>
    <n v="4"/>
    <n v="3"/>
    <n v="5"/>
    <n v="5"/>
    <n v="0"/>
    <n v="0"/>
    <n v="5"/>
    <n v="5"/>
    <n v="5"/>
    <n v="7"/>
    <n v="7"/>
    <n v="0"/>
    <n v="0"/>
    <n v="97"/>
    <n v="5.5"/>
    <n v="4.25"/>
    <n v="4"/>
    <n v="5.75"/>
    <n v="4.75"/>
    <n v="0"/>
    <n v="0"/>
    <x v="2"/>
    <n v="4.8499999999999996"/>
    <n v="7"/>
    <n v="6.5"/>
  </r>
  <r>
    <x v="63"/>
    <n v="4"/>
    <n v="6"/>
    <n v="4"/>
    <n v="5"/>
    <n v="5"/>
    <n v="0"/>
    <n v="0"/>
    <n v="7"/>
    <n v="4"/>
    <n v="3"/>
    <n v="6"/>
    <n v="3"/>
    <n v="0"/>
    <n v="0"/>
    <n v="3"/>
    <n v="4"/>
    <n v="6"/>
    <n v="2"/>
    <n v="6"/>
    <n v="0"/>
    <n v="0"/>
    <n v="6"/>
    <n v="6"/>
    <n v="6"/>
    <n v="3"/>
    <n v="6"/>
    <n v="0"/>
    <n v="0"/>
    <n v="95"/>
    <n v="5"/>
    <n v="5"/>
    <n v="4.75"/>
    <n v="4"/>
    <n v="5"/>
    <n v="0"/>
    <n v="0"/>
    <x v="2"/>
    <n v="4.75"/>
    <n v="7"/>
    <n v="6.25"/>
  </r>
  <r>
    <x v="64"/>
    <n v="3"/>
    <n v="3"/>
    <n v="4"/>
    <n v="3"/>
    <n v="4"/>
    <n v="0"/>
    <n v="0"/>
    <n v="7"/>
    <n v="4"/>
    <n v="2"/>
    <n v="5"/>
    <n v="6"/>
    <n v="0"/>
    <n v="0"/>
    <n v="2"/>
    <n v="6"/>
    <n v="6"/>
    <n v="3"/>
    <n v="3"/>
    <n v="0"/>
    <n v="0"/>
    <n v="3"/>
    <n v="4"/>
    <n v="7"/>
    <n v="7"/>
    <n v="5"/>
    <n v="0"/>
    <n v="0"/>
    <n v="87"/>
    <n v="3.75"/>
    <n v="4.25"/>
    <n v="4.75"/>
    <n v="4.5"/>
    <n v="4.5"/>
    <n v="0"/>
    <n v="0"/>
    <x v="2"/>
    <n v="4.3499999999999996"/>
    <n v="7"/>
    <n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n v="5"/>
    <n v="6"/>
    <n v="10"/>
    <n v="11"/>
    <n v="7"/>
    <n v="5"/>
    <n v="0"/>
    <n v="7"/>
    <n v="8"/>
    <n v="5"/>
    <n v="8"/>
    <n v="3"/>
    <n v="5"/>
    <n v="0"/>
    <n v="6"/>
    <n v="10"/>
    <n v="5"/>
    <n v="6"/>
    <n v="7"/>
    <n v="6"/>
    <n v="0"/>
    <n v="8"/>
    <n v="6"/>
    <n v="8"/>
    <n v="9"/>
    <n v="7"/>
    <n v="3"/>
    <n v="0"/>
    <n v="161"/>
    <n v="6.5"/>
    <n v="7.5"/>
    <n v="7"/>
    <n v="8.5"/>
    <n v="6"/>
    <n v="4.75"/>
    <n v="0"/>
    <x v="0"/>
    <n v="7.1"/>
    <n v="11"/>
    <n v="9.5"/>
    <n v="7.8"/>
  </r>
  <r>
    <x v="1"/>
    <n v="6"/>
    <n v="8"/>
    <n v="5"/>
    <n v="8"/>
    <n v="8"/>
    <n v="2"/>
    <n v="0"/>
    <n v="8"/>
    <n v="8"/>
    <n v="13"/>
    <n v="11"/>
    <n v="8"/>
    <n v="4"/>
    <n v="0"/>
    <n v="6"/>
    <n v="8"/>
    <n v="9"/>
    <n v="10"/>
    <n v="6"/>
    <n v="3"/>
    <n v="0"/>
    <n v="11"/>
    <n v="7"/>
    <n v="7"/>
    <n v="9"/>
    <n v="5"/>
    <n v="5"/>
    <n v="0"/>
    <n v="175"/>
    <n v="7.75"/>
    <n v="7.75"/>
    <n v="8.5"/>
    <n v="9.5"/>
    <n v="6.75"/>
    <n v="3.5"/>
    <n v="0"/>
    <x v="0"/>
    <n v="8.0500000000000007"/>
    <n v="13"/>
    <n v="10.5"/>
    <n v="9.6"/>
  </r>
  <r>
    <x v="2"/>
    <n v="9"/>
    <n v="9"/>
    <n v="8"/>
    <n v="7"/>
    <n v="14"/>
    <n v="4"/>
    <n v="0"/>
    <n v="6"/>
    <n v="10"/>
    <n v="6"/>
    <n v="5"/>
    <n v="6"/>
    <n v="4"/>
    <n v="0"/>
    <n v="8"/>
    <n v="8"/>
    <n v="10"/>
    <n v="3"/>
    <n v="10"/>
    <n v="6"/>
    <n v="0"/>
    <n v="7"/>
    <n v="9"/>
    <n v="4"/>
    <n v="6"/>
    <n v="9"/>
    <n v="2"/>
    <n v="0"/>
    <n v="170"/>
    <n v="7.5"/>
    <n v="9"/>
    <n v="7"/>
    <n v="5.25"/>
    <n v="9.75"/>
    <n v="4"/>
    <n v="0"/>
    <x v="0"/>
    <n v="7.7"/>
    <n v="14"/>
    <n v="10.75"/>
    <n v="9.4"/>
  </r>
  <r>
    <x v="3"/>
    <n v="9"/>
    <n v="4"/>
    <n v="8"/>
    <n v="10"/>
    <n v="7"/>
    <n v="5"/>
    <n v="0"/>
    <n v="5"/>
    <n v="6"/>
    <n v="12"/>
    <n v="10"/>
    <n v="11"/>
    <n v="2"/>
    <n v="0"/>
    <n v="7"/>
    <n v="5"/>
    <n v="10"/>
    <n v="10"/>
    <n v="7"/>
    <n v="6"/>
    <n v="0"/>
    <n v="9"/>
    <n v="9"/>
    <n v="5"/>
    <n v="4"/>
    <n v="12"/>
    <n v="4"/>
    <n v="0"/>
    <n v="177"/>
    <n v="7.5"/>
    <n v="6"/>
    <n v="8.75"/>
    <n v="8.5"/>
    <n v="9.25"/>
    <n v="4.25"/>
    <n v="0"/>
    <x v="0"/>
    <n v="8"/>
    <n v="12"/>
    <n v="11"/>
    <n v="8.8000000000000007"/>
  </r>
  <r>
    <x v="4"/>
    <n v="6"/>
    <n v="8"/>
    <n v="7"/>
    <n v="6"/>
    <n v="6"/>
    <n v="2"/>
    <n v="0"/>
    <n v="9"/>
    <n v="4"/>
    <n v="8"/>
    <n v="10"/>
    <n v="9"/>
    <n v="2"/>
    <n v="0"/>
    <n v="6"/>
    <n v="7"/>
    <n v="9"/>
    <n v="9"/>
    <n v="7"/>
    <n v="3"/>
    <n v="0"/>
    <n v="8"/>
    <n v="8"/>
    <n v="4"/>
    <n v="10"/>
    <n v="3"/>
    <n v="2"/>
    <n v="0"/>
    <n v="153"/>
    <n v="7.25"/>
    <n v="6.75"/>
    <n v="7"/>
    <n v="8.75"/>
    <n v="6.25"/>
    <n v="2.25"/>
    <n v="0"/>
    <x v="0"/>
    <n v="7.2"/>
    <n v="10"/>
    <n v="9.25"/>
    <n v="8"/>
  </r>
  <r>
    <x v="5"/>
    <n v="9"/>
    <n v="11"/>
    <n v="7"/>
    <n v="11"/>
    <n v="9"/>
    <n v="2"/>
    <n v="0"/>
    <n v="8"/>
    <n v="8"/>
    <n v="10"/>
    <n v="9"/>
    <n v="8"/>
    <n v="4"/>
    <n v="0"/>
    <n v="7"/>
    <n v="7"/>
    <n v="8"/>
    <n v="8"/>
    <n v="6"/>
    <n v="3"/>
    <n v="0"/>
    <n v="11"/>
    <n v="6"/>
    <n v="8"/>
    <n v="9"/>
    <n v="4"/>
    <n v="5"/>
    <n v="0"/>
    <n v="178"/>
    <n v="8.75"/>
    <n v="8"/>
    <n v="8.25"/>
    <n v="9.25"/>
    <n v="6.75"/>
    <n v="3.5"/>
    <n v="0"/>
    <x v="0"/>
    <n v="8.1999999999999993"/>
    <n v="11"/>
    <n v="10"/>
    <n v="9.4"/>
  </r>
  <r>
    <x v="6"/>
    <n v="14"/>
    <n v="11"/>
    <n v="6"/>
    <n v="8"/>
    <n v="14"/>
    <n v="2"/>
    <n v="0"/>
    <n v="6"/>
    <n v="5"/>
    <n v="10"/>
    <n v="9"/>
    <n v="6"/>
    <n v="4"/>
    <n v="0"/>
    <n v="10"/>
    <n v="3"/>
    <n v="5"/>
    <n v="7"/>
    <n v="12"/>
    <n v="6"/>
    <n v="0"/>
    <n v="9"/>
    <n v="5"/>
    <n v="7"/>
    <n v="7"/>
    <n v="9"/>
    <n v="5"/>
    <n v="0"/>
    <n v="180"/>
    <n v="9.75"/>
    <n v="6"/>
    <n v="7"/>
    <n v="7.75"/>
    <n v="10.25"/>
    <n v="4.25"/>
    <n v="0"/>
    <x v="0"/>
    <n v="8.15"/>
    <n v="14"/>
    <n v="11.25"/>
    <n v="10.6"/>
  </r>
  <r>
    <x v="7"/>
    <n v="8"/>
    <n v="4"/>
    <n v="8"/>
    <n v="3"/>
    <n v="4"/>
    <n v="6"/>
    <n v="0"/>
    <n v="10"/>
    <n v="6"/>
    <n v="7"/>
    <n v="8"/>
    <n v="7"/>
    <n v="3"/>
    <n v="0"/>
    <n v="6"/>
    <n v="8"/>
    <n v="10"/>
    <n v="5"/>
    <n v="5"/>
    <n v="6"/>
    <n v="0"/>
    <n v="9"/>
    <n v="9"/>
    <n v="11"/>
    <n v="7"/>
    <n v="6"/>
    <n v="3"/>
    <n v="0"/>
    <n v="159"/>
    <n v="8.25"/>
    <n v="6.75"/>
    <n v="9"/>
    <n v="5.75"/>
    <n v="5.5"/>
    <n v="4.5"/>
    <n v="0"/>
    <x v="0"/>
    <n v="7.05"/>
    <n v="11"/>
    <n v="9.75"/>
    <n v="8.4"/>
  </r>
  <r>
    <x v="8"/>
    <n v="10"/>
    <n v="10"/>
    <n v="13"/>
    <n v="7"/>
    <n v="9"/>
    <n v="4"/>
    <n v="0"/>
    <n v="5"/>
    <n v="12"/>
    <n v="8"/>
    <n v="9"/>
    <n v="11"/>
    <n v="4"/>
    <n v="0"/>
    <n v="8"/>
    <n v="12"/>
    <n v="6"/>
    <n v="5"/>
    <n v="10"/>
    <n v="2"/>
    <n v="0"/>
    <n v="8"/>
    <n v="6"/>
    <n v="10"/>
    <n v="3"/>
    <n v="5"/>
    <n v="4"/>
    <n v="0"/>
    <n v="181"/>
    <n v="7.75"/>
    <n v="10"/>
    <n v="9.25"/>
    <n v="6"/>
    <n v="8.75"/>
    <n v="3.5"/>
    <n v="0"/>
    <x v="0"/>
    <n v="8.35"/>
    <n v="13"/>
    <n v="11.75"/>
    <n v="9.8000000000000007"/>
  </r>
  <r>
    <x v="9"/>
    <n v="11"/>
    <n v="9"/>
    <n v="9"/>
    <n v="7"/>
    <n v="5"/>
    <n v="2"/>
    <n v="0"/>
    <n v="7"/>
    <n v="7"/>
    <n v="10"/>
    <n v="4"/>
    <n v="12"/>
    <n v="3"/>
    <n v="0"/>
    <n v="8"/>
    <n v="9"/>
    <n v="13"/>
    <n v="11"/>
    <n v="8"/>
    <n v="2"/>
    <n v="0"/>
    <n v="11"/>
    <n v="6"/>
    <n v="11"/>
    <n v="3"/>
    <n v="11"/>
    <n v="5"/>
    <n v="0"/>
    <n v="184"/>
    <n v="9.25"/>
    <n v="7.75"/>
    <n v="10.75"/>
    <n v="6.25"/>
    <n v="9"/>
    <n v="3"/>
    <n v="0"/>
    <x v="0"/>
    <n v="8.6"/>
    <n v="13"/>
    <n v="11.75"/>
    <n v="9.8000000000000007"/>
  </r>
  <r>
    <x v="10"/>
    <n v="8"/>
    <n v="11"/>
    <n v="3"/>
    <n v="6"/>
    <n v="12"/>
    <n v="6"/>
    <n v="0"/>
    <n v="6"/>
    <n v="5"/>
    <n v="13"/>
    <n v="10"/>
    <n v="9"/>
    <n v="6"/>
    <n v="0"/>
    <n v="5"/>
    <n v="11"/>
    <n v="6"/>
    <n v="11"/>
    <n v="6"/>
    <n v="6"/>
    <n v="0"/>
    <n v="10"/>
    <n v="7"/>
    <n v="11"/>
    <n v="9"/>
    <n v="7"/>
    <n v="4"/>
    <n v="0"/>
    <n v="188"/>
    <n v="7.25"/>
    <n v="8.5"/>
    <n v="8.25"/>
    <n v="9"/>
    <n v="8.5"/>
    <n v="5.5"/>
    <n v="0"/>
    <x v="0"/>
    <n v="8.3000000000000007"/>
    <n v="13"/>
    <n v="11.75"/>
    <n v="8.8000000000000007"/>
  </r>
  <r>
    <x v="11"/>
    <n v="7"/>
    <n v="5"/>
    <n v="8"/>
    <n v="6"/>
    <n v="6"/>
    <n v="2"/>
    <n v="0"/>
    <n v="9"/>
    <n v="13"/>
    <n v="9"/>
    <n v="4"/>
    <n v="9"/>
    <n v="4"/>
    <n v="0"/>
    <n v="5"/>
    <n v="6"/>
    <n v="9"/>
    <n v="6"/>
    <n v="10"/>
    <n v="5"/>
    <n v="0"/>
    <n v="10"/>
    <n v="8"/>
    <n v="6"/>
    <n v="7"/>
    <n v="3"/>
    <n v="6"/>
    <n v="0"/>
    <n v="163"/>
    <n v="7.75"/>
    <n v="8"/>
    <n v="8"/>
    <n v="5.75"/>
    <n v="7"/>
    <n v="4.25"/>
    <n v="0"/>
    <x v="0"/>
    <n v="7.3"/>
    <n v="13"/>
    <n v="10.25"/>
    <n v="8.8000000000000007"/>
  </r>
  <r>
    <x v="12"/>
    <n v="11"/>
    <n v="9"/>
    <n v="5"/>
    <n v="6"/>
    <n v="10"/>
    <n v="5"/>
    <n v="0"/>
    <n v="8"/>
    <n v="5"/>
    <n v="8"/>
    <n v="4"/>
    <n v="8"/>
    <n v="3"/>
    <n v="0"/>
    <n v="12"/>
    <n v="8"/>
    <n v="6"/>
    <n v="8"/>
    <n v="8"/>
    <n v="6"/>
    <n v="0"/>
    <n v="5"/>
    <n v="6"/>
    <n v="8"/>
    <n v="11"/>
    <n v="12"/>
    <n v="3"/>
    <n v="0"/>
    <n v="175"/>
    <n v="9"/>
    <n v="7"/>
    <n v="6.75"/>
    <n v="7.25"/>
    <n v="9.5"/>
    <n v="4.25"/>
    <n v="0"/>
    <x v="0"/>
    <n v="7.9"/>
    <n v="12"/>
    <n v="10.75"/>
    <n v="8.4"/>
  </r>
  <r>
    <x v="13"/>
    <n v="5"/>
    <n v="8"/>
    <n v="9"/>
    <n v="8"/>
    <n v="7"/>
    <n v="2"/>
    <n v="0"/>
    <n v="10"/>
    <n v="5"/>
    <n v="7"/>
    <n v="7"/>
    <n v="12"/>
    <n v="4"/>
    <n v="0"/>
    <n v="10"/>
    <n v="6"/>
    <n v="7"/>
    <n v="12"/>
    <n v="8"/>
    <n v="3"/>
    <n v="0"/>
    <n v="4"/>
    <n v="12"/>
    <n v="4"/>
    <n v="7"/>
    <n v="5"/>
    <n v="2"/>
    <n v="0"/>
    <n v="164"/>
    <n v="7.25"/>
    <n v="7.75"/>
    <n v="6.75"/>
    <n v="8.5"/>
    <n v="8"/>
    <n v="2.75"/>
    <n v="0"/>
    <x v="0"/>
    <n v="7.65"/>
    <n v="12"/>
    <n v="11.25"/>
    <n v="8.6"/>
  </r>
  <r>
    <x v="14"/>
    <n v="11"/>
    <n v="8"/>
    <n v="8"/>
    <n v="4"/>
    <n v="10"/>
    <n v="6"/>
    <n v="0"/>
    <n v="9"/>
    <n v="9"/>
    <n v="7"/>
    <n v="9"/>
    <n v="7"/>
    <n v="6"/>
    <n v="0"/>
    <n v="9"/>
    <n v="11"/>
    <n v="8"/>
    <n v="12"/>
    <n v="8"/>
    <n v="6"/>
    <n v="0"/>
    <n v="8"/>
    <n v="11"/>
    <n v="8"/>
    <n v="10"/>
    <n v="5"/>
    <n v="6"/>
    <n v="0"/>
    <n v="196"/>
    <n v="9.25"/>
    <n v="9.75"/>
    <n v="7.75"/>
    <n v="8.75"/>
    <n v="7.5"/>
    <n v="6"/>
    <n v="0"/>
    <x v="0"/>
    <n v="8.6"/>
    <n v="12"/>
    <n v="10.75"/>
    <n v="9.6"/>
  </r>
  <r>
    <x v="15"/>
    <n v="9"/>
    <n v="10"/>
    <n v="8"/>
    <n v="11"/>
    <n v="13"/>
    <n v="3"/>
    <n v="0"/>
    <n v="9"/>
    <n v="15"/>
    <n v="12"/>
    <n v="8"/>
    <n v="6"/>
    <n v="4"/>
    <n v="0"/>
    <n v="6"/>
    <n v="8"/>
    <n v="5"/>
    <n v="8"/>
    <n v="10"/>
    <n v="5"/>
    <n v="0"/>
    <n v="9"/>
    <n v="6"/>
    <n v="9"/>
    <n v="8"/>
    <n v="9"/>
    <n v="4"/>
    <n v="0"/>
    <n v="195"/>
    <n v="8.25"/>
    <n v="9.75"/>
    <n v="8.5"/>
    <n v="8.75"/>
    <n v="9.5"/>
    <n v="4"/>
    <n v="0"/>
    <x v="0"/>
    <n v="8.9499999999999993"/>
    <n v="15"/>
    <n v="11.75"/>
    <n v="10.199999999999999"/>
  </r>
  <r>
    <x v="16"/>
    <n v="7"/>
    <n v="9"/>
    <n v="11"/>
    <n v="8"/>
    <n v="10"/>
    <n v="4"/>
    <n v="0"/>
    <n v="5"/>
    <n v="13"/>
    <n v="6"/>
    <n v="12"/>
    <n v="9"/>
    <n v="5"/>
    <n v="0"/>
    <n v="5"/>
    <n v="7"/>
    <n v="6"/>
    <n v="7"/>
    <n v="6"/>
    <n v="5"/>
    <n v="0"/>
    <n v="7"/>
    <n v="9"/>
    <n v="7"/>
    <n v="15"/>
    <n v="4"/>
    <n v="2"/>
    <n v="0"/>
    <n v="179"/>
    <n v="6"/>
    <n v="9.5"/>
    <n v="7.5"/>
    <n v="10.5"/>
    <n v="7.25"/>
    <n v="4"/>
    <n v="0"/>
    <x v="0"/>
    <n v="8.15"/>
    <n v="15"/>
    <n v="11.5"/>
    <n v="9"/>
  </r>
  <r>
    <x v="17"/>
    <n v="9"/>
    <n v="9"/>
    <n v="10"/>
    <n v="7"/>
    <n v="4"/>
    <n v="4"/>
    <n v="0"/>
    <n v="6"/>
    <n v="11"/>
    <n v="6"/>
    <n v="9"/>
    <n v="10"/>
    <n v="4"/>
    <n v="0"/>
    <n v="5"/>
    <n v="9"/>
    <n v="9"/>
    <n v="7"/>
    <n v="12"/>
    <n v="6"/>
    <n v="0"/>
    <n v="9"/>
    <n v="9"/>
    <n v="7"/>
    <n v="6"/>
    <n v="14"/>
    <n v="4"/>
    <n v="0"/>
    <n v="186"/>
    <n v="7.25"/>
    <n v="9.5"/>
    <n v="8"/>
    <n v="7.25"/>
    <n v="10"/>
    <n v="4.5"/>
    <n v="0"/>
    <x v="0"/>
    <n v="8.4"/>
    <n v="14"/>
    <n v="11.75"/>
    <n v="9"/>
  </r>
  <r>
    <x v="18"/>
    <n v="12"/>
    <n v="11"/>
    <n v="7"/>
    <n v="9"/>
    <n v="6"/>
    <n v="6"/>
    <n v="0"/>
    <n v="11"/>
    <n v="6"/>
    <n v="4"/>
    <n v="9"/>
    <n v="8"/>
    <n v="4"/>
    <n v="0"/>
    <n v="7"/>
    <n v="6"/>
    <n v="12"/>
    <n v="7"/>
    <n v="9"/>
    <n v="2"/>
    <n v="0"/>
    <n v="6"/>
    <n v="10"/>
    <n v="8"/>
    <n v="7"/>
    <n v="8"/>
    <n v="2"/>
    <n v="0"/>
    <n v="177"/>
    <n v="9"/>
    <n v="8.25"/>
    <n v="7.75"/>
    <n v="8"/>
    <n v="7.75"/>
    <n v="3.5"/>
    <n v="0"/>
    <x v="0"/>
    <n v="8.15"/>
    <n v="12"/>
    <n v="11.25"/>
    <n v="9"/>
  </r>
  <r>
    <x v="19"/>
    <n v="7"/>
    <n v="7"/>
    <n v="7"/>
    <n v="5"/>
    <n v="5"/>
    <n v="4"/>
    <n v="0"/>
    <n v="6"/>
    <n v="8"/>
    <n v="5"/>
    <n v="9"/>
    <n v="9"/>
    <n v="5"/>
    <n v="0"/>
    <n v="7"/>
    <n v="9"/>
    <n v="8"/>
    <n v="4"/>
    <n v="8"/>
    <n v="5"/>
    <n v="0"/>
    <n v="6"/>
    <n v="7"/>
    <n v="7"/>
    <n v="6"/>
    <n v="9"/>
    <n v="2"/>
    <n v="0"/>
    <n v="155"/>
    <n v="6.5"/>
    <n v="7.75"/>
    <n v="6.75"/>
    <n v="6"/>
    <n v="7.75"/>
    <n v="4"/>
    <n v="0"/>
    <x v="0"/>
    <n v="6.95"/>
    <n v="9"/>
    <n v="8.5"/>
    <n v="7.4"/>
  </r>
  <r>
    <x v="20"/>
    <n v="7"/>
    <n v="7"/>
    <n v="4"/>
    <n v="11"/>
    <n v="8"/>
    <n v="2"/>
    <n v="0"/>
    <n v="7"/>
    <n v="9"/>
    <n v="9"/>
    <n v="15"/>
    <n v="10"/>
    <n v="5"/>
    <n v="0"/>
    <n v="9"/>
    <n v="7"/>
    <n v="8"/>
    <n v="10"/>
    <n v="9"/>
    <n v="4"/>
    <n v="0"/>
    <n v="9"/>
    <n v="7"/>
    <n v="9"/>
    <n v="9"/>
    <n v="10"/>
    <n v="3"/>
    <n v="0"/>
    <n v="188"/>
    <n v="8"/>
    <n v="7.5"/>
    <n v="7.5"/>
    <n v="11.25"/>
    <n v="9.25"/>
    <n v="3.5"/>
    <n v="0"/>
    <x v="0"/>
    <n v="8.6999999999999993"/>
    <n v="15"/>
    <n v="11.5"/>
    <n v="10"/>
  </r>
  <r>
    <x v="21"/>
    <n v="9"/>
    <n v="9"/>
    <n v="7"/>
    <n v="9"/>
    <n v="6"/>
    <n v="4"/>
    <n v="0"/>
    <n v="6"/>
    <n v="6"/>
    <n v="9"/>
    <n v="10"/>
    <n v="8"/>
    <n v="3"/>
    <n v="0"/>
    <n v="12"/>
    <n v="6"/>
    <n v="7"/>
    <n v="7"/>
    <n v="10"/>
    <n v="4"/>
    <n v="0"/>
    <n v="9"/>
    <n v="5"/>
    <n v="6"/>
    <n v="10"/>
    <n v="8"/>
    <n v="3"/>
    <n v="0"/>
    <n v="173"/>
    <n v="9"/>
    <n v="6.5"/>
    <n v="7.25"/>
    <n v="9"/>
    <n v="8"/>
    <n v="3.5"/>
    <n v="0"/>
    <x v="0"/>
    <n v="7.95"/>
    <n v="12"/>
    <n v="10.25"/>
    <n v="8.4"/>
  </r>
  <r>
    <x v="22"/>
    <n v="9"/>
    <n v="4"/>
    <n v="4"/>
    <n v="7"/>
    <n v="13"/>
    <n v="2"/>
    <n v="0"/>
    <n v="9"/>
    <n v="7"/>
    <n v="10"/>
    <n v="9"/>
    <n v="5"/>
    <n v="3"/>
    <n v="0"/>
    <n v="3"/>
    <n v="4"/>
    <n v="9"/>
    <n v="7"/>
    <n v="7"/>
    <n v="4"/>
    <n v="0"/>
    <n v="7"/>
    <n v="7"/>
    <n v="9"/>
    <n v="7"/>
    <n v="6"/>
    <n v="6"/>
    <n v="0"/>
    <n v="158"/>
    <n v="7"/>
    <n v="5.5"/>
    <n v="8"/>
    <n v="7.5"/>
    <n v="7.75"/>
    <n v="3.75"/>
    <n v="0"/>
    <x v="0"/>
    <n v="7.15"/>
    <n v="13"/>
    <n v="10.25"/>
    <n v="8"/>
  </r>
  <r>
    <x v="23"/>
    <n v="8"/>
    <n v="9"/>
    <n v="5"/>
    <n v="8"/>
    <n v="5"/>
    <n v="6"/>
    <n v="0"/>
    <n v="5"/>
    <n v="9"/>
    <n v="9"/>
    <n v="3"/>
    <n v="10"/>
    <n v="6"/>
    <n v="0"/>
    <n v="7"/>
    <n v="8"/>
    <n v="10"/>
    <n v="10"/>
    <n v="8"/>
    <n v="6"/>
    <n v="0"/>
    <n v="5"/>
    <n v="11"/>
    <n v="8"/>
    <n v="5"/>
    <n v="8"/>
    <n v="6"/>
    <n v="0"/>
    <n v="175"/>
    <n v="6.25"/>
    <n v="9.25"/>
    <n v="8"/>
    <n v="6.5"/>
    <n v="7.75"/>
    <n v="6"/>
    <n v="0"/>
    <x v="0"/>
    <n v="7.55"/>
    <n v="11"/>
    <n v="10"/>
    <n v="8.6"/>
  </r>
  <r>
    <x v="24"/>
    <n v="8"/>
    <n v="10"/>
    <n v="8"/>
    <n v="4"/>
    <n v="8"/>
    <n v="5"/>
    <n v="0"/>
    <n v="8"/>
    <n v="11"/>
    <n v="10"/>
    <n v="8"/>
    <n v="8"/>
    <n v="2"/>
    <n v="0"/>
    <n v="11"/>
    <n v="12"/>
    <n v="12"/>
    <n v="6"/>
    <n v="9"/>
    <n v="3"/>
    <n v="0"/>
    <n v="5"/>
    <n v="7"/>
    <n v="6"/>
    <n v="6"/>
    <n v="10"/>
    <n v="5"/>
    <n v="0"/>
    <n v="182"/>
    <n v="8"/>
    <n v="10"/>
    <n v="9"/>
    <n v="6"/>
    <n v="8.75"/>
    <n v="3.75"/>
    <n v="0"/>
    <x v="0"/>
    <n v="8.35"/>
    <n v="12"/>
    <n v="10.75"/>
    <n v="10"/>
  </r>
  <r>
    <x v="25"/>
    <n v="6"/>
    <n v="8"/>
    <n v="7"/>
    <n v="8"/>
    <n v="11"/>
    <n v="4"/>
    <n v="0"/>
    <n v="8"/>
    <n v="5"/>
    <n v="7"/>
    <n v="11"/>
    <n v="12"/>
    <n v="2"/>
    <n v="0"/>
    <n v="8"/>
    <n v="9"/>
    <n v="5"/>
    <n v="8"/>
    <n v="8"/>
    <n v="6"/>
    <n v="0"/>
    <n v="9"/>
    <n v="8"/>
    <n v="10"/>
    <n v="7"/>
    <n v="6"/>
    <n v="2"/>
    <n v="0"/>
    <n v="175"/>
    <n v="7.75"/>
    <n v="7.5"/>
    <n v="7.25"/>
    <n v="8.5"/>
    <n v="9.25"/>
    <n v="3.5"/>
    <n v="0"/>
    <x v="0"/>
    <n v="8.0500000000000007"/>
    <n v="12"/>
    <n v="10.5"/>
    <n v="8.6"/>
  </r>
  <r>
    <x v="26"/>
    <n v="11"/>
    <n v="4"/>
    <n v="8"/>
    <n v="12"/>
    <n v="7"/>
    <n v="3"/>
    <n v="0"/>
    <n v="7"/>
    <n v="7"/>
    <n v="8"/>
    <n v="7"/>
    <n v="9"/>
    <n v="5"/>
    <n v="0"/>
    <n v="11"/>
    <n v="5"/>
    <n v="6"/>
    <n v="8"/>
    <n v="10"/>
    <n v="4"/>
    <n v="0"/>
    <n v="11"/>
    <n v="6"/>
    <n v="10"/>
    <n v="4"/>
    <n v="9"/>
    <n v="5"/>
    <n v="0"/>
    <n v="177"/>
    <n v="10"/>
    <n v="5.5"/>
    <n v="8"/>
    <n v="7.75"/>
    <n v="8.75"/>
    <n v="4.25"/>
    <n v="0"/>
    <x v="0"/>
    <n v="8"/>
    <n v="12"/>
    <n v="10.75"/>
    <n v="8.4"/>
  </r>
  <r>
    <x v="27"/>
    <n v="6"/>
    <n v="9"/>
    <n v="12"/>
    <n v="6"/>
    <n v="11"/>
    <n v="3"/>
    <n v="0"/>
    <n v="10"/>
    <n v="10"/>
    <n v="9"/>
    <n v="8"/>
    <n v="6"/>
    <n v="3"/>
    <n v="0"/>
    <n v="8"/>
    <n v="10"/>
    <n v="5"/>
    <n v="11"/>
    <n v="7"/>
    <n v="2"/>
    <n v="0"/>
    <n v="9"/>
    <n v="8"/>
    <n v="5"/>
    <n v="5"/>
    <n v="8"/>
    <n v="4"/>
    <n v="0"/>
    <n v="175"/>
    <n v="8.25"/>
    <n v="9.25"/>
    <n v="7.75"/>
    <n v="7.5"/>
    <n v="8"/>
    <n v="3"/>
    <n v="0"/>
    <x v="0"/>
    <n v="8.15"/>
    <n v="12"/>
    <n v="10.5"/>
    <n v="8.8000000000000007"/>
  </r>
  <r>
    <x v="28"/>
    <n v="6"/>
    <n v="5"/>
    <n v="7"/>
    <n v="5"/>
    <n v="2"/>
    <n v="0"/>
    <n v="0"/>
    <n v="5"/>
    <n v="5"/>
    <n v="3"/>
    <n v="3"/>
    <n v="3"/>
    <n v="0"/>
    <n v="0"/>
    <n v="3"/>
    <n v="6"/>
    <n v="6"/>
    <n v="4"/>
    <n v="3"/>
    <n v="0"/>
    <n v="0"/>
    <n v="4"/>
    <n v="2"/>
    <n v="3"/>
    <n v="5"/>
    <n v="5"/>
    <n v="0"/>
    <n v="0"/>
    <n v="85"/>
    <n v="4.5"/>
    <n v="4.5"/>
    <n v="4.75"/>
    <n v="4.25"/>
    <n v="3.25"/>
    <n v="0"/>
    <n v="0"/>
    <x v="0"/>
    <n v="4.25"/>
    <n v="7"/>
    <n v="5.75"/>
    <n v="5"/>
  </r>
  <r>
    <x v="29"/>
    <n v="3"/>
    <n v="4"/>
    <n v="2"/>
    <n v="4"/>
    <n v="3"/>
    <n v="0"/>
    <n v="0"/>
    <n v="7"/>
    <n v="5"/>
    <n v="3"/>
    <n v="9"/>
    <n v="4"/>
    <n v="0"/>
    <n v="0"/>
    <n v="4"/>
    <n v="3"/>
    <n v="3"/>
    <n v="2"/>
    <n v="3"/>
    <n v="0"/>
    <n v="0"/>
    <n v="2"/>
    <n v="3"/>
    <n v="4"/>
    <n v="4"/>
    <n v="5"/>
    <n v="0"/>
    <n v="0"/>
    <n v="77"/>
    <n v="4"/>
    <n v="3.75"/>
    <n v="3"/>
    <n v="4.75"/>
    <n v="3.75"/>
    <n v="0"/>
    <n v="0"/>
    <x v="0"/>
    <n v="3.85"/>
    <n v="9"/>
    <n v="5.5"/>
    <n v="5.6"/>
  </r>
  <r>
    <x v="30"/>
    <n v="9"/>
    <n v="5"/>
    <n v="12"/>
    <n v="6"/>
    <n v="9"/>
    <n v="2"/>
    <n v="0"/>
    <n v="5"/>
    <n v="9"/>
    <n v="10"/>
    <n v="6"/>
    <n v="6"/>
    <n v="3"/>
    <n v="0"/>
    <n v="11"/>
    <n v="4"/>
    <n v="10"/>
    <n v="5"/>
    <n v="11"/>
    <n v="3"/>
    <n v="0"/>
    <n v="7"/>
    <n v="12"/>
    <n v="11"/>
    <n v="10"/>
    <n v="7"/>
    <n v="6"/>
    <n v="0"/>
    <n v="179"/>
    <n v="8"/>
    <n v="7.5"/>
    <n v="10.75"/>
    <n v="6.75"/>
    <n v="8.25"/>
    <n v="3.5"/>
    <n v="0"/>
    <x v="0"/>
    <n v="8.25"/>
    <n v="12"/>
    <n v="11.25"/>
    <n v="9.4"/>
  </r>
  <r>
    <x v="31"/>
    <n v="9"/>
    <n v="6"/>
    <n v="10"/>
    <n v="5"/>
    <n v="6"/>
    <n v="5"/>
    <n v="0"/>
    <n v="10"/>
    <n v="11"/>
    <n v="10"/>
    <n v="4"/>
    <n v="11"/>
    <n v="3"/>
    <n v="0"/>
    <n v="3"/>
    <n v="6"/>
    <n v="10"/>
    <n v="8"/>
    <n v="13"/>
    <n v="6"/>
    <n v="0"/>
    <n v="5"/>
    <n v="5"/>
    <n v="5"/>
    <n v="8"/>
    <n v="8"/>
    <n v="5"/>
    <n v="0"/>
    <n v="172"/>
    <n v="6.75"/>
    <n v="7"/>
    <n v="8.75"/>
    <n v="6.25"/>
    <n v="9.5"/>
    <n v="4.75"/>
    <n v="0"/>
    <x v="0"/>
    <n v="7.65"/>
    <n v="13"/>
    <n v="10.5"/>
    <n v="9.1999999999999993"/>
  </r>
  <r>
    <x v="32"/>
    <n v="6"/>
    <n v="9"/>
    <n v="6"/>
    <n v="7"/>
    <n v="10"/>
    <n v="4"/>
    <n v="0"/>
    <n v="11"/>
    <n v="8"/>
    <n v="5"/>
    <n v="8"/>
    <n v="6"/>
    <n v="5"/>
    <n v="0"/>
    <n v="8"/>
    <n v="7"/>
    <n v="5"/>
    <n v="7"/>
    <n v="8"/>
    <n v="2"/>
    <n v="0"/>
    <n v="10"/>
    <n v="9"/>
    <n v="11"/>
    <n v="9"/>
    <n v="10"/>
    <n v="6"/>
    <n v="0"/>
    <n v="177"/>
    <n v="8.75"/>
    <n v="8.25"/>
    <n v="6.75"/>
    <n v="7.75"/>
    <n v="8.5"/>
    <n v="4.25"/>
    <n v="0"/>
    <x v="0"/>
    <n v="8"/>
    <n v="11"/>
    <n v="10"/>
    <n v="9.8000000000000007"/>
  </r>
  <r>
    <x v="33"/>
    <n v="9"/>
    <n v="6"/>
    <n v="8"/>
    <n v="3"/>
    <n v="8"/>
    <n v="6"/>
    <n v="0"/>
    <n v="13"/>
    <n v="12"/>
    <n v="7"/>
    <n v="12"/>
    <n v="6"/>
    <n v="3"/>
    <n v="0"/>
    <n v="8"/>
    <n v="7"/>
    <n v="7"/>
    <n v="8"/>
    <n v="9"/>
    <n v="4"/>
    <n v="0"/>
    <n v="12"/>
    <n v="9"/>
    <n v="12"/>
    <n v="6"/>
    <n v="9"/>
    <n v="2"/>
    <n v="0"/>
    <n v="186"/>
    <n v="10.5"/>
    <n v="8.5"/>
    <n v="8.5"/>
    <n v="7.25"/>
    <n v="8"/>
    <n v="3.75"/>
    <n v="0"/>
    <x v="0"/>
    <n v="8.5500000000000007"/>
    <n v="13"/>
    <n v="10.75"/>
    <n v="10"/>
  </r>
  <r>
    <x v="34"/>
    <n v="7"/>
    <n v="6"/>
    <n v="11"/>
    <n v="6"/>
    <n v="9"/>
    <n v="2"/>
    <n v="0"/>
    <n v="5"/>
    <n v="11"/>
    <n v="11"/>
    <n v="3"/>
    <n v="12"/>
    <n v="4"/>
    <n v="0"/>
    <n v="4"/>
    <n v="5"/>
    <n v="6"/>
    <n v="11"/>
    <n v="8"/>
    <n v="4"/>
    <n v="0"/>
    <n v="6"/>
    <n v="6"/>
    <n v="8"/>
    <n v="11"/>
    <n v="4"/>
    <n v="3"/>
    <n v="0"/>
    <n v="163"/>
    <n v="5.5"/>
    <n v="7"/>
    <n v="9"/>
    <n v="7.75"/>
    <n v="8.25"/>
    <n v="3.25"/>
    <n v="0"/>
    <x v="0"/>
    <n v="7.5"/>
    <n v="12"/>
    <n v="11.25"/>
    <n v="8.4"/>
  </r>
  <r>
    <x v="35"/>
    <n v="7"/>
    <n v="6"/>
    <n v="6"/>
    <n v="6"/>
    <n v="10"/>
    <n v="3"/>
    <n v="0"/>
    <n v="9"/>
    <n v="6"/>
    <n v="6"/>
    <n v="11"/>
    <n v="9"/>
    <n v="6"/>
    <n v="0"/>
    <n v="6"/>
    <n v="5"/>
    <n v="6"/>
    <n v="6"/>
    <n v="9"/>
    <n v="3"/>
    <n v="0"/>
    <n v="7"/>
    <n v="9"/>
    <n v="7"/>
    <n v="8"/>
    <n v="10"/>
    <n v="6"/>
    <n v="0"/>
    <n v="167"/>
    <n v="7.25"/>
    <n v="6.5"/>
    <n v="6.25"/>
    <n v="7.75"/>
    <n v="9.5"/>
    <n v="4.5"/>
    <n v="0"/>
    <x v="0"/>
    <n v="7.45"/>
    <n v="11"/>
    <n v="10"/>
    <n v="8.1999999999999993"/>
  </r>
  <r>
    <x v="36"/>
    <n v="11"/>
    <n v="10"/>
    <n v="9"/>
    <n v="5"/>
    <n v="9"/>
    <n v="2"/>
    <n v="0"/>
    <n v="8"/>
    <n v="9"/>
    <n v="7"/>
    <n v="6"/>
    <n v="8"/>
    <n v="6"/>
    <n v="0"/>
    <n v="5"/>
    <n v="5"/>
    <n v="10"/>
    <n v="11"/>
    <n v="9"/>
    <n v="2"/>
    <n v="0"/>
    <n v="6"/>
    <n v="8"/>
    <n v="5"/>
    <n v="11"/>
    <n v="6"/>
    <n v="3"/>
    <n v="0"/>
    <n v="171"/>
    <n v="7.5"/>
    <n v="8"/>
    <n v="7.75"/>
    <n v="8.25"/>
    <n v="8"/>
    <n v="3.25"/>
    <n v="0"/>
    <x v="0"/>
    <n v="7.9"/>
    <n v="11"/>
    <n v="10.5"/>
    <n v="8.8000000000000007"/>
  </r>
  <r>
    <x v="37"/>
    <n v="7"/>
    <n v="7"/>
    <n v="7"/>
    <n v="11"/>
    <n v="6"/>
    <n v="6"/>
    <n v="0"/>
    <n v="4"/>
    <n v="7"/>
    <n v="8"/>
    <n v="10"/>
    <n v="9"/>
    <n v="3"/>
    <n v="0"/>
    <n v="4"/>
    <n v="6"/>
    <n v="7"/>
    <n v="8"/>
    <n v="11"/>
    <n v="2"/>
    <n v="0"/>
    <n v="12"/>
    <n v="8"/>
    <n v="6"/>
    <n v="9"/>
    <n v="7"/>
    <n v="4"/>
    <n v="0"/>
    <n v="169"/>
    <n v="6.75"/>
    <n v="7"/>
    <n v="7"/>
    <n v="9.5"/>
    <n v="8.25"/>
    <n v="3.75"/>
    <n v="0"/>
    <x v="0"/>
    <n v="7.7"/>
    <n v="12"/>
    <n v="11"/>
    <n v="8.4"/>
  </r>
  <r>
    <x v="38"/>
    <n v="11"/>
    <n v="8"/>
    <n v="5"/>
    <n v="6"/>
    <n v="7"/>
    <n v="2"/>
    <n v="0"/>
    <n v="8"/>
    <n v="5"/>
    <n v="8"/>
    <n v="7"/>
    <n v="10"/>
    <n v="4"/>
    <n v="0"/>
    <n v="6"/>
    <n v="10"/>
    <n v="8"/>
    <n v="10"/>
    <n v="4"/>
    <n v="3"/>
    <n v="0"/>
    <n v="10"/>
    <n v="8"/>
    <n v="8"/>
    <n v="4"/>
    <n v="8"/>
    <n v="4"/>
    <n v="0"/>
    <n v="164"/>
    <n v="8.75"/>
    <n v="7.75"/>
    <n v="7.25"/>
    <n v="6.75"/>
    <n v="7.25"/>
    <n v="3.25"/>
    <n v="0"/>
    <x v="0"/>
    <n v="7.55"/>
    <n v="11"/>
    <n v="10.25"/>
    <n v="7.6"/>
  </r>
  <r>
    <x v="39"/>
    <n v="7"/>
    <n v="5"/>
    <n v="4"/>
    <n v="7"/>
    <n v="5"/>
    <n v="3"/>
    <n v="0"/>
    <n v="8"/>
    <n v="6"/>
    <n v="6"/>
    <n v="5"/>
    <n v="5"/>
    <n v="3"/>
    <n v="0"/>
    <n v="5"/>
    <n v="8"/>
    <n v="7"/>
    <n v="7"/>
    <n v="7"/>
    <n v="6"/>
    <n v="0"/>
    <n v="11"/>
    <n v="8"/>
    <n v="13"/>
    <n v="10"/>
    <n v="10"/>
    <n v="6"/>
    <n v="0"/>
    <n v="162"/>
    <n v="7.75"/>
    <n v="6.75"/>
    <n v="7.5"/>
    <n v="7.25"/>
    <n v="6.75"/>
    <n v="4.5"/>
    <n v="0"/>
    <x v="0"/>
    <n v="7.2"/>
    <n v="13"/>
    <n v="9"/>
    <n v="10.4"/>
  </r>
  <r>
    <x v="40"/>
    <n v="9"/>
    <n v="10"/>
    <n v="8"/>
    <n v="5"/>
    <n v="8"/>
    <n v="3"/>
    <n v="0"/>
    <n v="9"/>
    <n v="11"/>
    <n v="8"/>
    <n v="12"/>
    <n v="7"/>
    <n v="2"/>
    <n v="0"/>
    <n v="7"/>
    <n v="13"/>
    <n v="8"/>
    <n v="10"/>
    <n v="7"/>
    <n v="4"/>
    <n v="0"/>
    <n v="6"/>
    <n v="11"/>
    <n v="7"/>
    <n v="12"/>
    <n v="7"/>
    <n v="2"/>
    <n v="0"/>
    <n v="186"/>
    <n v="7.75"/>
    <n v="11.25"/>
    <n v="7.75"/>
    <n v="9.75"/>
    <n v="7.25"/>
    <n v="2.75"/>
    <n v="0"/>
    <x v="0"/>
    <n v="8.75"/>
    <n v="13"/>
    <n v="11.75"/>
    <n v="9.4"/>
  </r>
  <r>
    <x v="41"/>
    <n v="6"/>
    <n v="10"/>
    <n v="7"/>
    <n v="11"/>
    <n v="12"/>
    <n v="3"/>
    <n v="0"/>
    <n v="8"/>
    <n v="3"/>
    <n v="11"/>
    <n v="11"/>
    <n v="9"/>
    <n v="4"/>
    <n v="0"/>
    <n v="11"/>
    <n v="9"/>
    <n v="9"/>
    <n v="5"/>
    <n v="10"/>
    <n v="4"/>
    <n v="0"/>
    <n v="13"/>
    <n v="5"/>
    <n v="6"/>
    <n v="6"/>
    <n v="11"/>
    <n v="2"/>
    <n v="0"/>
    <n v="186"/>
    <n v="9.5"/>
    <n v="6.75"/>
    <n v="8.25"/>
    <n v="8.25"/>
    <n v="10.5"/>
    <n v="3.25"/>
    <n v="0"/>
    <x v="0"/>
    <n v="8.65"/>
    <n v="13"/>
    <n v="11.75"/>
    <n v="9.1999999999999993"/>
  </r>
  <r>
    <x v="42"/>
    <n v="7"/>
    <n v="8"/>
    <n v="9"/>
    <n v="14"/>
    <n v="7"/>
    <n v="3"/>
    <n v="0"/>
    <n v="8"/>
    <n v="11"/>
    <n v="11"/>
    <n v="8"/>
    <n v="10"/>
    <n v="5"/>
    <n v="0"/>
    <n v="6"/>
    <n v="6"/>
    <n v="5"/>
    <n v="10"/>
    <n v="6"/>
    <n v="5"/>
    <n v="0"/>
    <n v="8"/>
    <n v="5"/>
    <n v="8"/>
    <n v="8"/>
    <n v="9"/>
    <n v="5"/>
    <n v="0"/>
    <n v="182"/>
    <n v="7.25"/>
    <n v="7.5"/>
    <n v="8.25"/>
    <n v="10"/>
    <n v="8"/>
    <n v="4.5"/>
    <n v="0"/>
    <x v="0"/>
    <n v="8.1999999999999993"/>
    <n v="14"/>
    <n v="11"/>
    <n v="9.6"/>
  </r>
  <r>
    <x v="43"/>
    <n v="8"/>
    <n v="11"/>
    <n v="7"/>
    <n v="9"/>
    <n v="8"/>
    <n v="6"/>
    <n v="0"/>
    <n v="4"/>
    <n v="8"/>
    <n v="7"/>
    <n v="13"/>
    <n v="6"/>
    <n v="5"/>
    <n v="0"/>
    <n v="8"/>
    <n v="9"/>
    <n v="12"/>
    <n v="8"/>
    <n v="8"/>
    <n v="3"/>
    <n v="0"/>
    <n v="7"/>
    <n v="10"/>
    <n v="11"/>
    <n v="7"/>
    <n v="10"/>
    <n v="5"/>
    <n v="0"/>
    <n v="190"/>
    <n v="6.75"/>
    <n v="9.5"/>
    <n v="9.25"/>
    <n v="9.25"/>
    <n v="8"/>
    <n v="4.75"/>
    <n v="0"/>
    <x v="0"/>
    <n v="8.5500000000000007"/>
    <n v="13"/>
    <n v="11.75"/>
    <n v="9"/>
  </r>
  <r>
    <x v="44"/>
    <n v="9"/>
    <n v="7"/>
    <n v="7"/>
    <n v="10"/>
    <n v="6"/>
    <n v="5"/>
    <n v="0"/>
    <n v="10"/>
    <n v="7"/>
    <n v="7"/>
    <n v="7"/>
    <n v="8"/>
    <n v="2"/>
    <n v="0"/>
    <n v="10"/>
    <n v="5"/>
    <n v="5"/>
    <n v="8"/>
    <n v="8"/>
    <n v="3"/>
    <n v="0"/>
    <n v="5"/>
    <n v="7"/>
    <n v="4"/>
    <n v="10"/>
    <n v="4"/>
    <n v="4"/>
    <n v="0"/>
    <n v="158"/>
    <n v="8.5"/>
    <n v="6.5"/>
    <n v="5.75"/>
    <n v="8.75"/>
    <n v="6.5"/>
    <n v="3.5"/>
    <n v="0"/>
    <x v="0"/>
    <n v="7.2"/>
    <n v="10"/>
    <n v="10"/>
    <n v="7.8"/>
  </r>
  <r>
    <x v="45"/>
    <n v="10"/>
    <n v="6"/>
    <n v="6"/>
    <n v="12"/>
    <n v="4"/>
    <n v="2"/>
    <n v="0"/>
    <n v="5"/>
    <n v="7"/>
    <n v="6"/>
    <n v="5"/>
    <n v="8"/>
    <n v="4"/>
    <n v="0"/>
    <n v="5"/>
    <n v="6"/>
    <n v="13"/>
    <n v="5"/>
    <n v="9"/>
    <n v="2"/>
    <n v="0"/>
    <n v="7"/>
    <n v="10"/>
    <n v="5"/>
    <n v="6"/>
    <n v="6"/>
    <n v="4"/>
    <n v="0"/>
    <n v="153"/>
    <n v="6.75"/>
    <n v="7.25"/>
    <n v="7.5"/>
    <n v="7"/>
    <n v="6.75"/>
    <n v="3"/>
    <n v="0"/>
    <x v="0"/>
    <n v="7.05"/>
    <n v="13"/>
    <n v="10.75"/>
    <n v="7.6"/>
  </r>
  <r>
    <x v="46"/>
    <n v="9"/>
    <n v="7"/>
    <n v="8"/>
    <n v="8"/>
    <n v="7"/>
    <n v="2"/>
    <n v="0"/>
    <n v="8"/>
    <n v="9"/>
    <n v="9"/>
    <n v="12"/>
    <n v="10"/>
    <n v="2"/>
    <n v="0"/>
    <n v="10"/>
    <n v="10"/>
    <n v="10"/>
    <n v="5"/>
    <n v="10"/>
    <n v="5"/>
    <n v="0"/>
    <n v="6"/>
    <n v="11"/>
    <n v="6"/>
    <n v="6"/>
    <n v="9"/>
    <n v="4"/>
    <n v="0"/>
    <n v="183"/>
    <n v="8.25"/>
    <n v="9.25"/>
    <n v="8.25"/>
    <n v="7.75"/>
    <n v="9"/>
    <n v="3.25"/>
    <n v="0"/>
    <x v="0"/>
    <n v="8.5"/>
    <n v="12"/>
    <n v="10.5"/>
    <n v="9.6"/>
  </r>
  <r>
    <x v="47"/>
    <n v="7"/>
    <n v="7"/>
    <n v="8"/>
    <n v="8"/>
    <n v="9"/>
    <n v="2"/>
    <n v="0"/>
    <n v="10"/>
    <n v="8"/>
    <n v="5"/>
    <n v="15"/>
    <n v="3"/>
    <n v="2"/>
    <n v="0"/>
    <n v="11"/>
    <n v="5"/>
    <n v="5"/>
    <n v="10"/>
    <n v="10"/>
    <n v="5"/>
    <n v="0"/>
    <n v="7"/>
    <n v="6"/>
    <n v="12"/>
    <n v="7"/>
    <n v="11"/>
    <n v="5"/>
    <n v="0"/>
    <n v="178"/>
    <n v="8.75"/>
    <n v="6.5"/>
    <n v="7.5"/>
    <n v="10"/>
    <n v="8.25"/>
    <n v="3.5"/>
    <n v="0"/>
    <x v="0"/>
    <n v="8.1999999999999993"/>
    <n v="15"/>
    <n v="11.75"/>
    <n v="8.6"/>
  </r>
  <r>
    <x v="48"/>
    <n v="6"/>
    <n v="10"/>
    <n v="10"/>
    <n v="3"/>
    <n v="15"/>
    <n v="5"/>
    <n v="0"/>
    <n v="8"/>
    <n v="10"/>
    <n v="8"/>
    <n v="9"/>
    <n v="8"/>
    <n v="5"/>
    <n v="0"/>
    <n v="8"/>
    <n v="9"/>
    <n v="10"/>
    <n v="6"/>
    <n v="10"/>
    <n v="5"/>
    <n v="0"/>
    <n v="5"/>
    <n v="6"/>
    <n v="5"/>
    <n v="9"/>
    <n v="5"/>
    <n v="3"/>
    <n v="0"/>
    <n v="178"/>
    <n v="6.75"/>
    <n v="8.75"/>
    <n v="8.25"/>
    <n v="6.75"/>
    <n v="9.5"/>
    <n v="4.5"/>
    <n v="0"/>
    <x v="0"/>
    <n v="8"/>
    <n v="15"/>
    <n v="11"/>
    <n v="8.8000000000000007"/>
  </r>
  <r>
    <x v="49"/>
    <n v="5"/>
    <n v="7"/>
    <n v="4"/>
    <n v="7"/>
    <n v="8"/>
    <n v="2"/>
    <n v="0"/>
    <n v="8"/>
    <n v="7"/>
    <n v="5"/>
    <n v="6"/>
    <n v="8"/>
    <n v="2"/>
    <n v="0"/>
    <n v="8"/>
    <n v="5"/>
    <n v="9"/>
    <n v="8"/>
    <n v="10"/>
    <n v="4"/>
    <n v="0"/>
    <n v="10"/>
    <n v="6"/>
    <n v="13"/>
    <n v="8"/>
    <n v="12"/>
    <n v="2"/>
    <n v="0"/>
    <n v="164"/>
    <n v="7.75"/>
    <n v="6.25"/>
    <n v="7.75"/>
    <n v="7.25"/>
    <n v="9.5"/>
    <n v="2.5"/>
    <n v="0"/>
    <x v="0"/>
    <n v="7.7"/>
    <n v="13"/>
    <n v="9.75"/>
    <n v="9.8000000000000007"/>
  </r>
  <r>
    <x v="50"/>
    <n v="9"/>
    <n v="10"/>
    <n v="6"/>
    <n v="11"/>
    <n v="4"/>
    <n v="2"/>
    <n v="0"/>
    <n v="12"/>
    <n v="4"/>
    <n v="6"/>
    <n v="6"/>
    <n v="8"/>
    <n v="2"/>
    <n v="0"/>
    <n v="6"/>
    <n v="9"/>
    <n v="6"/>
    <n v="6"/>
    <n v="8"/>
    <n v="5"/>
    <n v="0"/>
    <n v="8"/>
    <n v="8"/>
    <n v="5"/>
    <n v="8"/>
    <n v="12"/>
    <n v="6"/>
    <n v="0"/>
    <n v="167"/>
    <n v="8.75"/>
    <n v="7.75"/>
    <n v="5.75"/>
    <n v="7.75"/>
    <n v="8"/>
    <n v="3.75"/>
    <n v="0"/>
    <x v="0"/>
    <n v="7.6"/>
    <n v="12"/>
    <n v="11"/>
    <n v="8.1999999999999993"/>
  </r>
  <r>
    <x v="51"/>
    <n v="8"/>
    <n v="7"/>
    <n v="11"/>
    <n v="7"/>
    <n v="12"/>
    <n v="5"/>
    <n v="0"/>
    <n v="9"/>
    <n v="9"/>
    <n v="7"/>
    <n v="8"/>
    <n v="6"/>
    <n v="4"/>
    <n v="0"/>
    <n v="6"/>
    <n v="8"/>
    <n v="9"/>
    <n v="5"/>
    <n v="4"/>
    <n v="2"/>
    <n v="0"/>
    <n v="9"/>
    <n v="10"/>
    <n v="5"/>
    <n v="8"/>
    <n v="10"/>
    <n v="3"/>
    <n v="0"/>
    <n v="172"/>
    <n v="8"/>
    <n v="8.5"/>
    <n v="8"/>
    <n v="7"/>
    <n v="8"/>
    <n v="3.5"/>
    <n v="0"/>
    <x v="0"/>
    <n v="7.9"/>
    <n v="12"/>
    <n v="10"/>
    <n v="9"/>
  </r>
  <r>
    <x v="52"/>
    <n v="10"/>
    <n v="12"/>
    <n v="11"/>
    <n v="9"/>
    <n v="11"/>
    <n v="2"/>
    <n v="0"/>
    <n v="9"/>
    <n v="11"/>
    <n v="8"/>
    <n v="7"/>
    <n v="7"/>
    <n v="4"/>
    <n v="0"/>
    <n v="13"/>
    <n v="14"/>
    <n v="7"/>
    <n v="7"/>
    <n v="8"/>
    <n v="4"/>
    <n v="0"/>
    <n v="6"/>
    <n v="6"/>
    <n v="7"/>
    <n v="10"/>
    <n v="8"/>
    <n v="6"/>
    <n v="0"/>
    <n v="197"/>
    <n v="9.5"/>
    <n v="10.75"/>
    <n v="8.25"/>
    <n v="8.25"/>
    <n v="8.5"/>
    <n v="4"/>
    <n v="0"/>
    <x v="0"/>
    <n v="9.0500000000000007"/>
    <n v="14"/>
    <n v="11.75"/>
    <n v="10.6"/>
  </r>
  <r>
    <x v="53"/>
    <n v="15"/>
    <n v="7"/>
    <n v="8"/>
    <n v="13"/>
    <n v="12"/>
    <n v="5"/>
    <n v="0"/>
    <n v="4"/>
    <n v="10"/>
    <n v="9"/>
    <n v="8"/>
    <n v="10"/>
    <n v="5"/>
    <n v="0"/>
    <n v="14"/>
    <n v="9"/>
    <n v="10"/>
    <n v="6"/>
    <n v="10"/>
    <n v="2"/>
    <n v="0"/>
    <n v="8"/>
    <n v="8"/>
    <n v="8"/>
    <n v="8"/>
    <n v="11"/>
    <n v="4"/>
    <n v="0"/>
    <n v="204"/>
    <n v="10.25"/>
    <n v="8.5"/>
    <n v="8.75"/>
    <n v="8.75"/>
    <n v="10.75"/>
    <n v="4"/>
    <n v="0"/>
    <x v="0"/>
    <n v="9.4"/>
    <n v="15"/>
    <n v="12.5"/>
    <n v="11"/>
  </r>
  <r>
    <x v="54"/>
    <n v="7"/>
    <n v="6"/>
    <n v="6"/>
    <n v="9"/>
    <n v="5"/>
    <n v="5"/>
    <n v="0"/>
    <n v="6"/>
    <n v="10"/>
    <n v="13"/>
    <n v="7"/>
    <n v="7"/>
    <n v="6"/>
    <n v="0"/>
    <n v="5"/>
    <n v="13"/>
    <n v="10"/>
    <n v="8"/>
    <n v="8"/>
    <n v="5"/>
    <n v="0"/>
    <n v="11"/>
    <n v="8"/>
    <n v="9"/>
    <n v="8"/>
    <n v="7"/>
    <n v="6"/>
    <n v="0"/>
    <n v="185"/>
    <n v="7.25"/>
    <n v="9.25"/>
    <n v="9.5"/>
    <n v="8"/>
    <n v="6.75"/>
    <n v="5.5"/>
    <n v="0"/>
    <x v="0"/>
    <n v="8.15"/>
    <n v="13"/>
    <n v="11.5"/>
    <n v="8.8000000000000007"/>
  </r>
  <r>
    <x v="55"/>
    <n v="5"/>
    <n v="6"/>
    <n v="3"/>
    <n v="2"/>
    <n v="4"/>
    <n v="0"/>
    <n v="0"/>
    <n v="5"/>
    <n v="4"/>
    <n v="3"/>
    <n v="5"/>
    <n v="2"/>
    <n v="0"/>
    <n v="0"/>
    <n v="5"/>
    <n v="4"/>
    <n v="3"/>
    <n v="3"/>
    <n v="4"/>
    <n v="0"/>
    <n v="0"/>
    <n v="3"/>
    <n v="5"/>
    <n v="8"/>
    <n v="5"/>
    <n v="3"/>
    <n v="0"/>
    <n v="0"/>
    <n v="82"/>
    <n v="4.5"/>
    <n v="4.75"/>
    <n v="4.25"/>
    <n v="3.75"/>
    <n v="3.25"/>
    <n v="0"/>
    <n v="0"/>
    <x v="1"/>
    <n v="4.0999999999999996"/>
    <n v="8"/>
    <n v="6"/>
    <n v="4.8"/>
  </r>
  <r>
    <x v="56"/>
    <n v="3"/>
    <n v="5"/>
    <n v="6"/>
    <n v="2"/>
    <n v="4"/>
    <n v="0"/>
    <n v="0"/>
    <n v="3"/>
    <n v="8"/>
    <n v="5"/>
    <n v="4"/>
    <n v="4"/>
    <n v="0"/>
    <n v="0"/>
    <n v="4"/>
    <n v="3"/>
    <n v="4"/>
    <n v="6"/>
    <n v="5"/>
    <n v="0"/>
    <n v="0"/>
    <n v="6"/>
    <n v="5"/>
    <n v="4"/>
    <n v="8"/>
    <n v="3"/>
    <n v="0"/>
    <n v="0"/>
    <n v="92"/>
    <n v="4"/>
    <n v="5.25"/>
    <n v="4.75"/>
    <n v="5"/>
    <n v="4"/>
    <n v="0"/>
    <n v="0"/>
    <x v="1"/>
    <n v="4.5999999999999996"/>
    <n v="8"/>
    <n v="7"/>
    <n v="5.2"/>
  </r>
  <r>
    <x v="57"/>
    <n v="7"/>
    <n v="5"/>
    <n v="3"/>
    <n v="2"/>
    <n v="5"/>
    <n v="0"/>
    <n v="0"/>
    <n v="4"/>
    <n v="6"/>
    <n v="4"/>
    <n v="6"/>
    <n v="5"/>
    <n v="0"/>
    <n v="0"/>
    <n v="8"/>
    <n v="3"/>
    <n v="6"/>
    <n v="2"/>
    <n v="6"/>
    <n v="0"/>
    <n v="0"/>
    <n v="5"/>
    <n v="3"/>
    <n v="7"/>
    <n v="2"/>
    <n v="3"/>
    <n v="0"/>
    <n v="0"/>
    <n v="92"/>
    <n v="6"/>
    <n v="4.25"/>
    <n v="5"/>
    <n v="3"/>
    <n v="4.75"/>
    <n v="0"/>
    <n v="0"/>
    <x v="1"/>
    <n v="4.5999999999999996"/>
    <n v="8"/>
    <n v="7"/>
    <n v="5"/>
  </r>
  <r>
    <x v="58"/>
    <n v="4"/>
    <n v="2"/>
    <n v="5"/>
    <n v="5"/>
    <n v="5"/>
    <n v="0"/>
    <n v="0"/>
    <n v="4"/>
    <n v="2"/>
    <n v="4"/>
    <n v="3"/>
    <n v="3"/>
    <n v="0"/>
    <n v="0"/>
    <n v="4"/>
    <n v="2"/>
    <n v="5"/>
    <n v="2"/>
    <n v="5"/>
    <n v="0"/>
    <n v="0"/>
    <n v="5"/>
    <n v="4"/>
    <n v="3"/>
    <n v="5"/>
    <n v="3"/>
    <n v="0"/>
    <n v="0"/>
    <n v="75"/>
    <n v="4.25"/>
    <n v="2.5"/>
    <n v="4.25"/>
    <n v="3.75"/>
    <n v="4"/>
    <n v="0"/>
    <n v="0"/>
    <x v="1"/>
    <n v="3.75"/>
    <n v="5"/>
    <n v="4.75"/>
    <n v="4.2"/>
  </r>
  <r>
    <x v="59"/>
    <n v="3"/>
    <n v="5"/>
    <n v="3"/>
    <n v="7"/>
    <n v="5"/>
    <n v="0"/>
    <n v="0"/>
    <n v="4"/>
    <n v="4"/>
    <n v="6"/>
    <n v="5"/>
    <n v="5"/>
    <n v="0"/>
    <n v="0"/>
    <n v="3"/>
    <n v="4"/>
    <n v="5"/>
    <n v="5"/>
    <n v="2"/>
    <n v="0"/>
    <n v="0"/>
    <n v="4"/>
    <n v="7"/>
    <n v="6"/>
    <n v="8"/>
    <n v="4"/>
    <n v="0"/>
    <n v="0"/>
    <n v="95"/>
    <n v="3.5"/>
    <n v="5"/>
    <n v="5"/>
    <n v="6.25"/>
    <n v="4"/>
    <n v="0"/>
    <n v="0"/>
    <x v="1"/>
    <n v="4.75"/>
    <n v="8"/>
    <n v="6.5"/>
    <n v="5.8"/>
  </r>
  <r>
    <x v="60"/>
    <n v="3"/>
    <n v="2"/>
    <n v="6"/>
    <n v="6"/>
    <n v="4"/>
    <n v="0"/>
    <n v="0"/>
    <n v="3"/>
    <n v="8"/>
    <n v="5"/>
    <n v="3"/>
    <n v="3"/>
    <n v="0"/>
    <n v="0"/>
    <n v="4"/>
    <n v="5"/>
    <n v="2"/>
    <n v="5"/>
    <n v="5"/>
    <n v="0"/>
    <n v="0"/>
    <n v="5"/>
    <n v="5"/>
    <n v="5"/>
    <n v="5"/>
    <n v="5"/>
    <n v="0"/>
    <n v="0"/>
    <n v="89"/>
    <n v="3.75"/>
    <n v="5"/>
    <n v="4.5"/>
    <n v="4.75"/>
    <n v="4.25"/>
    <n v="0"/>
    <n v="0"/>
    <x v="2"/>
    <n v="4.45"/>
    <n v="8"/>
    <n v="6"/>
    <n v="5"/>
  </r>
  <r>
    <x v="61"/>
    <n v="6"/>
    <n v="7"/>
    <n v="4"/>
    <n v="3"/>
    <n v="5"/>
    <n v="0"/>
    <n v="0"/>
    <n v="4"/>
    <n v="6"/>
    <n v="4"/>
    <n v="3"/>
    <n v="7"/>
    <n v="0"/>
    <n v="0"/>
    <n v="7"/>
    <n v="5"/>
    <n v="3"/>
    <n v="5"/>
    <n v="3"/>
    <n v="0"/>
    <n v="0"/>
    <n v="5"/>
    <n v="4"/>
    <n v="5"/>
    <n v="4"/>
    <n v="3"/>
    <n v="0"/>
    <n v="0"/>
    <n v="93"/>
    <n v="5.5"/>
    <n v="5.5"/>
    <n v="4"/>
    <n v="3.75"/>
    <n v="4.5"/>
    <n v="0"/>
    <n v="0"/>
    <x v="2"/>
    <n v="4.6500000000000004"/>
    <n v="7"/>
    <n v="6.5"/>
    <n v="5"/>
  </r>
  <r>
    <x v="62"/>
    <n v="4"/>
    <n v="2"/>
    <n v="2"/>
    <n v="6"/>
    <n v="3"/>
    <n v="0"/>
    <n v="0"/>
    <n v="7"/>
    <n v="6"/>
    <n v="6"/>
    <n v="5"/>
    <n v="4"/>
    <n v="0"/>
    <n v="0"/>
    <n v="6"/>
    <n v="4"/>
    <n v="3"/>
    <n v="5"/>
    <n v="5"/>
    <n v="0"/>
    <n v="0"/>
    <n v="5"/>
    <n v="5"/>
    <n v="5"/>
    <n v="7"/>
    <n v="7"/>
    <n v="0"/>
    <n v="0"/>
    <n v="97"/>
    <n v="5.5"/>
    <n v="4.25"/>
    <n v="4"/>
    <n v="5.75"/>
    <n v="4.75"/>
    <n v="0"/>
    <n v="0"/>
    <x v="2"/>
    <n v="4.8499999999999996"/>
    <n v="7"/>
    <n v="6.5"/>
    <n v="5.8"/>
  </r>
  <r>
    <x v="63"/>
    <n v="4"/>
    <n v="6"/>
    <n v="4"/>
    <n v="5"/>
    <n v="5"/>
    <n v="0"/>
    <n v="0"/>
    <n v="7"/>
    <n v="4"/>
    <n v="3"/>
    <n v="6"/>
    <n v="3"/>
    <n v="0"/>
    <n v="0"/>
    <n v="3"/>
    <n v="4"/>
    <n v="6"/>
    <n v="2"/>
    <n v="6"/>
    <n v="0"/>
    <n v="0"/>
    <n v="6"/>
    <n v="6"/>
    <n v="6"/>
    <n v="3"/>
    <n v="6"/>
    <n v="0"/>
    <n v="0"/>
    <n v="95"/>
    <n v="5"/>
    <n v="5"/>
    <n v="4.75"/>
    <n v="4"/>
    <n v="5"/>
    <n v="0"/>
    <n v="0"/>
    <x v="2"/>
    <n v="4.75"/>
    <n v="7"/>
    <n v="6.25"/>
    <n v="5.4"/>
  </r>
  <r>
    <x v="64"/>
    <n v="3"/>
    <n v="3"/>
    <n v="4"/>
    <n v="3"/>
    <n v="4"/>
    <n v="0"/>
    <n v="0"/>
    <n v="7"/>
    <n v="4"/>
    <n v="2"/>
    <n v="5"/>
    <n v="6"/>
    <n v="0"/>
    <n v="0"/>
    <n v="2"/>
    <n v="6"/>
    <n v="6"/>
    <n v="3"/>
    <n v="3"/>
    <n v="0"/>
    <n v="0"/>
    <n v="3"/>
    <n v="4"/>
    <n v="7"/>
    <n v="7"/>
    <n v="5"/>
    <n v="0"/>
    <n v="0"/>
    <n v="87"/>
    <n v="3.75"/>
    <n v="4.25"/>
    <n v="4.75"/>
    <n v="4.5"/>
    <n v="4.5"/>
    <n v="0"/>
    <n v="0"/>
    <x v="2"/>
    <n v="4.3499999999999996"/>
    <n v="7"/>
    <n v="6"/>
    <n v="5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0B4DDB-CB1C-4CEE-A067-F58A9DCBF98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upermarkets">
  <location ref="A3:H17" firstHeaderRow="0" firstDataRow="1" firstDataCol="1"/>
  <pivotFields count="39">
    <pivotField axis="axisRow" showAll="0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axis="axisRow" showAll="0">
      <items count="4">
        <item sd="0" x="0"/>
        <item x="1"/>
        <item x="2"/>
        <item t="default"/>
      </items>
    </pivotField>
    <pivotField dataField="1" showAll="0"/>
  </pivotFields>
  <rowFields count="2">
    <field x="37"/>
    <field x="0"/>
  </rowFields>
  <rowItems count="14">
    <i>
      <x/>
    </i>
    <i>
      <x v="1"/>
    </i>
    <i r="1">
      <x v="55"/>
    </i>
    <i r="1">
      <x v="56"/>
    </i>
    <i r="1">
      <x v="57"/>
    </i>
    <i r="1">
      <x v="58"/>
    </i>
    <i r="1">
      <x v="59"/>
    </i>
    <i>
      <x v="2"/>
    </i>
    <i r="1">
      <x v="60"/>
    </i>
    <i r="1">
      <x v="61"/>
    </i>
    <i r="1">
      <x v="62"/>
    </i>
    <i r="1">
      <x v="63"/>
    </i>
    <i r="1">
      <x v="6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Weekday Average" fld="38" baseField="0" baseItem="0"/>
    <dataField name="Sum of Monday" fld="30" baseField="0" baseItem="0"/>
    <dataField name="Sum of Tuesday" fld="31" baseField="0" baseItem="0"/>
    <dataField name="Sum of Wednesday" fld="32" baseField="0" baseItem="0"/>
    <dataField name="Sum of Thursday" fld="33" baseField="0" baseItem="0"/>
    <dataField name="Sum of Friday" fld="34" baseField="0" baseItem="0"/>
    <dataField name="Sum of Saturday" fld="3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0DBA5-9153-4BE6-802C-64DFAA29C2F1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7" firstHeaderRow="0" firstDataRow="1" firstDataCol="1"/>
  <pivotFields count="41">
    <pivotField axis="axisRow" showAll="0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sd="0" x="0"/>
        <item sd="0" x="1"/>
        <item sd="0" x="2"/>
        <item t="default"/>
      </items>
    </pivotField>
    <pivotField dataField="1" showAll="0"/>
    <pivotField dataField="1" showAll="0"/>
    <pivotField dataField="1" showAll="0"/>
  </pivotFields>
  <rowFields count="2">
    <field x="37"/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Weekday Average" fld="38" baseField="0" baseItem="0"/>
    <dataField name="Sum of Max Value" fld="39" baseField="0" baseItem="0"/>
    <dataField name="Sum of Average of Weekday Max" fld="40" baseField="0" baseItem="0"/>
    <dataField name="Sum of Total" fld="2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1EE1EB-ACF7-4CAA-BFC1-1C06CB4A0C4F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7" firstHeaderRow="0" firstDataRow="1" firstDataCol="1"/>
  <pivotFields count="42">
    <pivotField axis="axisRow" showAll="0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sd="0" x="0"/>
        <item sd="0" x="1"/>
        <item sd="0" x="2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37"/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Weekday Average" fld="38" baseField="0" baseItem="0"/>
    <dataField name="Sum of Max Value" fld="39" baseField="0" baseItem="0"/>
    <dataField name="Sum of Average of Weekday Max" fld="40" baseField="0" baseItem="0"/>
    <dataField name="Sum of Max of Weekday Average" fld="41" baseField="0" baseItem="0"/>
    <dataField name="Sum of Total" fld="2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295-5482-49D9-99A2-384E29BF365E}">
  <dimension ref="A3:H17"/>
  <sheetViews>
    <sheetView tabSelected="1" workbookViewId="0">
      <selection activeCell="I25" sqref="I25"/>
    </sheetView>
  </sheetViews>
  <sheetFormatPr defaultRowHeight="15" x14ac:dyDescent="0.25"/>
  <cols>
    <col min="1" max="1" width="30.5703125" bestFit="1" customWidth="1"/>
    <col min="2" max="2" width="24.140625" bestFit="1" customWidth="1"/>
    <col min="3" max="4" width="15" bestFit="1" customWidth="1"/>
    <col min="5" max="5" width="18.42578125" bestFit="1" customWidth="1"/>
    <col min="6" max="6" width="15.7109375" bestFit="1" customWidth="1"/>
    <col min="7" max="7" width="13.140625" bestFit="1" customWidth="1"/>
    <col min="8" max="8" width="15.42578125" bestFit="1" customWidth="1"/>
    <col min="9" max="9" width="12" bestFit="1" customWidth="1"/>
  </cols>
  <sheetData>
    <row r="3" spans="1:8" x14ac:dyDescent="0.25">
      <c r="A3" s="2" t="s">
        <v>103</v>
      </c>
      <c r="B3" t="s">
        <v>88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</row>
    <row r="4" spans="1:8" x14ac:dyDescent="0.25">
      <c r="A4" s="3" t="s">
        <v>83</v>
      </c>
      <c r="B4" s="4">
        <v>431.39999999999986</v>
      </c>
      <c r="C4" s="4">
        <v>429.75</v>
      </c>
      <c r="D4" s="4">
        <v>429</v>
      </c>
      <c r="E4" s="4">
        <v>427.25</v>
      </c>
      <c r="F4" s="4">
        <v>428</v>
      </c>
      <c r="G4" s="4">
        <v>443</v>
      </c>
      <c r="H4" s="4">
        <v>206.5</v>
      </c>
    </row>
    <row r="5" spans="1:8" x14ac:dyDescent="0.25">
      <c r="A5" s="3" t="s">
        <v>84</v>
      </c>
      <c r="B5" s="4">
        <v>21.799999999999997</v>
      </c>
      <c r="C5" s="4">
        <v>22.25</v>
      </c>
      <c r="D5" s="4">
        <v>21.75</v>
      </c>
      <c r="E5" s="4">
        <v>23.25</v>
      </c>
      <c r="F5" s="4">
        <v>21.75</v>
      </c>
      <c r="G5" s="4">
        <v>20</v>
      </c>
      <c r="H5" s="4">
        <v>0</v>
      </c>
    </row>
    <row r="6" spans="1:8" x14ac:dyDescent="0.25">
      <c r="A6" s="5" t="s">
        <v>56</v>
      </c>
      <c r="B6" s="4">
        <v>4.0999999999999996</v>
      </c>
      <c r="C6" s="4">
        <v>4.5</v>
      </c>
      <c r="D6" s="4">
        <v>4.75</v>
      </c>
      <c r="E6" s="4">
        <v>4.25</v>
      </c>
      <c r="F6" s="4">
        <v>3.75</v>
      </c>
      <c r="G6" s="4">
        <v>3.25</v>
      </c>
      <c r="H6" s="4">
        <v>0</v>
      </c>
    </row>
    <row r="7" spans="1:8" x14ac:dyDescent="0.25">
      <c r="A7" s="5" t="s">
        <v>57</v>
      </c>
      <c r="B7" s="4">
        <v>4.5999999999999996</v>
      </c>
      <c r="C7" s="4">
        <v>4</v>
      </c>
      <c r="D7" s="4">
        <v>5.25</v>
      </c>
      <c r="E7" s="4">
        <v>4.75</v>
      </c>
      <c r="F7" s="4">
        <v>5</v>
      </c>
      <c r="G7" s="4">
        <v>4</v>
      </c>
      <c r="H7" s="4">
        <v>0</v>
      </c>
    </row>
    <row r="8" spans="1:8" x14ac:dyDescent="0.25">
      <c r="A8" s="5" t="s">
        <v>58</v>
      </c>
      <c r="B8" s="4">
        <v>4.5999999999999996</v>
      </c>
      <c r="C8" s="4">
        <v>6</v>
      </c>
      <c r="D8" s="4">
        <v>4.25</v>
      </c>
      <c r="E8" s="4">
        <v>5</v>
      </c>
      <c r="F8" s="4">
        <v>3</v>
      </c>
      <c r="G8" s="4">
        <v>4.75</v>
      </c>
      <c r="H8" s="4">
        <v>0</v>
      </c>
    </row>
    <row r="9" spans="1:8" x14ac:dyDescent="0.25">
      <c r="A9" s="5" t="s">
        <v>59</v>
      </c>
      <c r="B9" s="4">
        <v>3.75</v>
      </c>
      <c r="C9" s="4">
        <v>4.25</v>
      </c>
      <c r="D9" s="4">
        <v>2.5</v>
      </c>
      <c r="E9" s="4">
        <v>4.25</v>
      </c>
      <c r="F9" s="4">
        <v>3.75</v>
      </c>
      <c r="G9" s="4">
        <v>4</v>
      </c>
      <c r="H9" s="4">
        <v>0</v>
      </c>
    </row>
    <row r="10" spans="1:8" x14ac:dyDescent="0.25">
      <c r="A10" s="5" t="s">
        <v>60</v>
      </c>
      <c r="B10" s="4">
        <v>4.75</v>
      </c>
      <c r="C10" s="4">
        <v>3.5</v>
      </c>
      <c r="D10" s="4">
        <v>5</v>
      </c>
      <c r="E10" s="4">
        <v>5</v>
      </c>
      <c r="F10" s="4">
        <v>6.25</v>
      </c>
      <c r="G10" s="4">
        <v>4</v>
      </c>
      <c r="H10" s="4">
        <v>0</v>
      </c>
    </row>
    <row r="11" spans="1:8" x14ac:dyDescent="0.25">
      <c r="A11" s="3" t="s">
        <v>85</v>
      </c>
      <c r="B11" s="4">
        <v>23.050000000000004</v>
      </c>
      <c r="C11" s="4">
        <v>23.5</v>
      </c>
      <c r="D11" s="4">
        <v>24</v>
      </c>
      <c r="E11" s="4">
        <v>22</v>
      </c>
      <c r="F11" s="4">
        <v>22.75</v>
      </c>
      <c r="G11" s="4">
        <v>23</v>
      </c>
      <c r="H11" s="4">
        <v>0</v>
      </c>
    </row>
    <row r="12" spans="1:8" x14ac:dyDescent="0.25">
      <c r="A12" s="5" t="s">
        <v>61</v>
      </c>
      <c r="B12" s="4">
        <v>4.45</v>
      </c>
      <c r="C12" s="4">
        <v>3.75</v>
      </c>
      <c r="D12" s="4">
        <v>5</v>
      </c>
      <c r="E12" s="4">
        <v>4.5</v>
      </c>
      <c r="F12" s="4">
        <v>4.75</v>
      </c>
      <c r="G12" s="4">
        <v>4.25</v>
      </c>
      <c r="H12" s="4">
        <v>0</v>
      </c>
    </row>
    <row r="13" spans="1:8" x14ac:dyDescent="0.25">
      <c r="A13" s="5" t="s">
        <v>62</v>
      </c>
      <c r="B13" s="4">
        <v>4.6500000000000004</v>
      </c>
      <c r="C13" s="4">
        <v>5.5</v>
      </c>
      <c r="D13" s="4">
        <v>5.5</v>
      </c>
      <c r="E13" s="4">
        <v>4</v>
      </c>
      <c r="F13" s="4">
        <v>3.75</v>
      </c>
      <c r="G13" s="4">
        <v>4.5</v>
      </c>
      <c r="H13" s="4">
        <v>0</v>
      </c>
    </row>
    <row r="14" spans="1:8" x14ac:dyDescent="0.25">
      <c r="A14" s="5" t="s">
        <v>63</v>
      </c>
      <c r="B14" s="4">
        <v>4.8499999999999996</v>
      </c>
      <c r="C14" s="4">
        <v>5.5</v>
      </c>
      <c r="D14" s="4">
        <v>4.25</v>
      </c>
      <c r="E14" s="4">
        <v>4</v>
      </c>
      <c r="F14" s="4">
        <v>5.75</v>
      </c>
      <c r="G14" s="4">
        <v>4.75</v>
      </c>
      <c r="H14" s="4">
        <v>0</v>
      </c>
    </row>
    <row r="15" spans="1:8" x14ac:dyDescent="0.25">
      <c r="A15" s="5" t="s">
        <v>64</v>
      </c>
      <c r="B15" s="4">
        <v>4.75</v>
      </c>
      <c r="C15" s="4">
        <v>5</v>
      </c>
      <c r="D15" s="4">
        <v>5</v>
      </c>
      <c r="E15" s="4">
        <v>4.75</v>
      </c>
      <c r="F15" s="4">
        <v>4</v>
      </c>
      <c r="G15" s="4">
        <v>5</v>
      </c>
      <c r="H15" s="4">
        <v>0</v>
      </c>
    </row>
    <row r="16" spans="1:8" x14ac:dyDescent="0.25">
      <c r="A16" s="5" t="s">
        <v>65</v>
      </c>
      <c r="B16" s="4">
        <v>4.3499999999999996</v>
      </c>
      <c r="C16" s="4">
        <v>3.75</v>
      </c>
      <c r="D16" s="4">
        <v>4.25</v>
      </c>
      <c r="E16" s="4">
        <v>4.75</v>
      </c>
      <c r="F16" s="4">
        <v>4.5</v>
      </c>
      <c r="G16" s="4">
        <v>4.5</v>
      </c>
      <c r="H16" s="4">
        <v>0</v>
      </c>
    </row>
    <row r="17" spans="1:8" x14ac:dyDescent="0.25">
      <c r="A17" s="3" t="s">
        <v>66</v>
      </c>
      <c r="B17" s="4">
        <v>476.24999999999994</v>
      </c>
      <c r="C17" s="4">
        <v>475.5</v>
      </c>
      <c r="D17" s="4">
        <v>474.75</v>
      </c>
      <c r="E17" s="4">
        <v>472.5</v>
      </c>
      <c r="F17" s="4">
        <v>472.5</v>
      </c>
      <c r="G17" s="4">
        <v>486</v>
      </c>
      <c r="H17" s="4">
        <v>206.5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F2C7-DE19-4A08-9F5A-48D4FD8AF15A}">
  <dimension ref="A3:E7"/>
  <sheetViews>
    <sheetView workbookViewId="0">
      <selection activeCell="A6" sqref="A6"/>
    </sheetView>
  </sheetViews>
  <sheetFormatPr defaultRowHeight="15" x14ac:dyDescent="0.25"/>
  <cols>
    <col min="1" max="1" width="13.7109375" bestFit="1" customWidth="1"/>
    <col min="2" max="2" width="24.140625" bestFit="1" customWidth="1"/>
    <col min="3" max="3" width="17.28515625" bestFit="1" customWidth="1"/>
    <col min="4" max="4" width="31" bestFit="1" customWidth="1"/>
    <col min="5" max="5" width="12" bestFit="1" customWidth="1"/>
  </cols>
  <sheetData>
    <row r="3" spans="1:5" x14ac:dyDescent="0.25">
      <c r="A3" s="2" t="s">
        <v>86</v>
      </c>
      <c r="B3" t="s">
        <v>88</v>
      </c>
      <c r="C3" t="s">
        <v>92</v>
      </c>
      <c r="D3" t="s">
        <v>93</v>
      </c>
      <c r="E3" t="s">
        <v>68</v>
      </c>
    </row>
    <row r="4" spans="1:5" x14ac:dyDescent="0.25">
      <c r="A4" s="3" t="s">
        <v>83</v>
      </c>
      <c r="B4" s="4">
        <v>431.39999999999986</v>
      </c>
      <c r="C4" s="4">
        <v>680</v>
      </c>
      <c r="D4" s="4">
        <v>582</v>
      </c>
      <c r="E4" s="4">
        <v>9454</v>
      </c>
    </row>
    <row r="5" spans="1:5" x14ac:dyDescent="0.25">
      <c r="A5" s="3" t="s">
        <v>84</v>
      </c>
      <c r="B5" s="4">
        <v>21.799999999999997</v>
      </c>
      <c r="C5" s="4">
        <v>37</v>
      </c>
      <c r="D5" s="4">
        <v>31.25</v>
      </c>
      <c r="E5" s="4">
        <v>436</v>
      </c>
    </row>
    <row r="6" spans="1:5" x14ac:dyDescent="0.25">
      <c r="A6" s="3" t="s">
        <v>85</v>
      </c>
      <c r="B6" s="4">
        <v>23.050000000000004</v>
      </c>
      <c r="C6" s="4">
        <v>36</v>
      </c>
      <c r="D6" s="4">
        <v>31.25</v>
      </c>
      <c r="E6" s="4">
        <v>461</v>
      </c>
    </row>
    <row r="7" spans="1:5" x14ac:dyDescent="0.25">
      <c r="A7" s="3" t="s">
        <v>66</v>
      </c>
      <c r="B7" s="4">
        <v>476.24999999999989</v>
      </c>
      <c r="C7" s="4">
        <v>753</v>
      </c>
      <c r="D7" s="4">
        <v>644.5</v>
      </c>
      <c r="E7" s="4">
        <v>10351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9E4A-8BA1-4F72-9F2D-24AD5C59FFBD}">
  <dimension ref="A3:F7"/>
  <sheetViews>
    <sheetView workbookViewId="0">
      <selection activeCell="A4" sqref="A4"/>
    </sheetView>
  </sheetViews>
  <sheetFormatPr defaultRowHeight="15" x14ac:dyDescent="0.25"/>
  <cols>
    <col min="1" max="1" width="13.7109375" bestFit="1" customWidth="1"/>
    <col min="2" max="2" width="24.140625" bestFit="1" customWidth="1"/>
    <col min="3" max="3" width="17.28515625" bestFit="1" customWidth="1"/>
    <col min="4" max="5" width="31" bestFit="1" customWidth="1"/>
    <col min="6" max="6" width="12" bestFit="1" customWidth="1"/>
  </cols>
  <sheetData>
    <row r="3" spans="1:6" x14ac:dyDescent="0.25">
      <c r="A3" s="2" t="s">
        <v>86</v>
      </c>
      <c r="B3" t="s">
        <v>88</v>
      </c>
      <c r="C3" t="s">
        <v>92</v>
      </c>
      <c r="D3" t="s">
        <v>93</v>
      </c>
      <c r="E3" t="s">
        <v>95</v>
      </c>
      <c r="F3" t="s">
        <v>68</v>
      </c>
    </row>
    <row r="4" spans="1:6" x14ac:dyDescent="0.25">
      <c r="A4" s="3" t="s">
        <v>83</v>
      </c>
      <c r="B4" s="4">
        <v>431.39999999999986</v>
      </c>
      <c r="C4" s="4">
        <v>680</v>
      </c>
      <c r="D4" s="4">
        <v>582</v>
      </c>
      <c r="E4" s="4">
        <v>489.00000000000006</v>
      </c>
      <c r="F4" s="4">
        <v>9454</v>
      </c>
    </row>
    <row r="5" spans="1:6" x14ac:dyDescent="0.25">
      <c r="A5" s="3" t="s">
        <v>84</v>
      </c>
      <c r="B5" s="4">
        <v>21.799999999999997</v>
      </c>
      <c r="C5" s="4">
        <v>37</v>
      </c>
      <c r="D5" s="4">
        <v>31.25</v>
      </c>
      <c r="E5" s="4">
        <v>25</v>
      </c>
      <c r="F5" s="4">
        <v>436</v>
      </c>
    </row>
    <row r="6" spans="1:6" x14ac:dyDescent="0.25">
      <c r="A6" s="3" t="s">
        <v>85</v>
      </c>
      <c r="B6" s="4">
        <v>23.050000000000004</v>
      </c>
      <c r="C6" s="4">
        <v>36</v>
      </c>
      <c r="D6" s="4">
        <v>31.25</v>
      </c>
      <c r="E6" s="4">
        <v>26.400000000000002</v>
      </c>
      <c r="F6" s="4">
        <v>461</v>
      </c>
    </row>
    <row r="7" spans="1:6" x14ac:dyDescent="0.25">
      <c r="A7" s="3" t="s">
        <v>66</v>
      </c>
      <c r="B7" s="4">
        <v>476.24999999999989</v>
      </c>
      <c r="C7" s="4">
        <v>753</v>
      </c>
      <c r="D7" s="4">
        <v>644.5</v>
      </c>
      <c r="E7" s="4">
        <v>540.4</v>
      </c>
      <c r="F7" s="4">
        <v>10351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137"/>
  <sheetViews>
    <sheetView topLeftCell="F1" zoomScale="60" zoomScaleNormal="60" workbookViewId="0">
      <selection activeCell="AQ1" sqref="AQ1"/>
    </sheetView>
  </sheetViews>
  <sheetFormatPr defaultRowHeight="15" x14ac:dyDescent="0.25"/>
  <cols>
    <col min="1" max="1" width="31.42578125" customWidth="1"/>
    <col min="2" max="2" width="11.5703125" bestFit="1" customWidth="1"/>
    <col min="5" max="5" width="12" bestFit="1" customWidth="1"/>
    <col min="48" max="48" width="17.28515625" customWidth="1"/>
  </cols>
  <sheetData>
    <row r="1" spans="1:50" x14ac:dyDescent="0.25">
      <c r="A1" t="s">
        <v>0</v>
      </c>
      <c r="B1" s="1">
        <v>44361</v>
      </c>
      <c r="C1" s="1">
        <v>44362</v>
      </c>
      <c r="D1" s="1">
        <v>44363</v>
      </c>
      <c r="E1" s="1">
        <v>44364</v>
      </c>
      <c r="F1" s="1">
        <v>44365</v>
      </c>
      <c r="G1" s="1">
        <v>44366</v>
      </c>
      <c r="H1" s="1">
        <v>44367</v>
      </c>
      <c r="I1" s="1">
        <v>44368</v>
      </c>
      <c r="J1" s="1">
        <v>44369</v>
      </c>
      <c r="K1" s="1">
        <v>44370</v>
      </c>
      <c r="L1" s="1">
        <v>44371</v>
      </c>
      <c r="M1" s="1">
        <v>44372</v>
      </c>
      <c r="N1" s="1">
        <v>44373</v>
      </c>
      <c r="O1" s="1">
        <v>44374</v>
      </c>
      <c r="P1" s="1">
        <v>44375</v>
      </c>
      <c r="Q1" s="1">
        <v>44376</v>
      </c>
      <c r="R1" s="1">
        <v>44377</v>
      </c>
      <c r="S1" s="1">
        <v>44378</v>
      </c>
      <c r="T1" s="1">
        <v>44379</v>
      </c>
      <c r="U1" s="1">
        <v>44380</v>
      </c>
      <c r="V1" s="1">
        <v>44381</v>
      </c>
      <c r="W1" s="1">
        <v>44382</v>
      </c>
      <c r="X1" s="1">
        <v>44383</v>
      </c>
      <c r="Y1" s="1">
        <v>44384</v>
      </c>
      <c r="Z1" s="1">
        <v>44385</v>
      </c>
      <c r="AA1" s="1">
        <v>44386</v>
      </c>
      <c r="AB1" s="1">
        <v>44387</v>
      </c>
      <c r="AC1" s="1">
        <v>44388</v>
      </c>
      <c r="AD1" t="s">
        <v>67</v>
      </c>
      <c r="AE1" t="s">
        <v>69</v>
      </c>
      <c r="AF1" t="s">
        <v>70</v>
      </c>
      <c r="AG1" t="s">
        <v>71</v>
      </c>
      <c r="AH1" t="s">
        <v>72</v>
      </c>
      <c r="AI1" t="s">
        <v>73</v>
      </c>
      <c r="AJ1" t="s">
        <v>74</v>
      </c>
      <c r="AK1" t="s">
        <v>75</v>
      </c>
      <c r="AL1" t="s">
        <v>82</v>
      </c>
      <c r="AM1" t="s">
        <v>87</v>
      </c>
      <c r="AN1" t="s">
        <v>90</v>
      </c>
      <c r="AO1" t="s">
        <v>91</v>
      </c>
      <c r="AP1" t="s">
        <v>94</v>
      </c>
      <c r="AQ1" s="6" t="s">
        <v>96</v>
      </c>
      <c r="AR1" t="s">
        <v>97</v>
      </c>
      <c r="AV1" t="s">
        <v>98</v>
      </c>
      <c r="AW1" t="s">
        <v>100</v>
      </c>
      <c r="AX1" t="s">
        <v>101</v>
      </c>
    </row>
    <row r="2" spans="1:50" x14ac:dyDescent="0.25">
      <c r="A2" t="s">
        <v>1</v>
      </c>
      <c r="B2">
        <v>5</v>
      </c>
      <c r="C2">
        <v>6</v>
      </c>
      <c r="D2">
        <v>10</v>
      </c>
      <c r="E2">
        <v>11</v>
      </c>
      <c r="F2">
        <v>7</v>
      </c>
      <c r="G2">
        <v>5</v>
      </c>
      <c r="H2">
        <v>0</v>
      </c>
      <c r="I2">
        <v>7</v>
      </c>
      <c r="J2">
        <v>8</v>
      </c>
      <c r="K2">
        <v>5</v>
      </c>
      <c r="L2">
        <v>8</v>
      </c>
      <c r="M2">
        <v>3</v>
      </c>
      <c r="N2">
        <v>5</v>
      </c>
      <c r="O2">
        <v>0</v>
      </c>
      <c r="P2">
        <v>6</v>
      </c>
      <c r="Q2">
        <v>10</v>
      </c>
      <c r="R2">
        <v>5</v>
      </c>
      <c r="S2">
        <v>6</v>
      </c>
      <c r="T2">
        <v>7</v>
      </c>
      <c r="U2">
        <v>6</v>
      </c>
      <c r="V2">
        <v>0</v>
      </c>
      <c r="W2">
        <v>8</v>
      </c>
      <c r="X2">
        <v>6</v>
      </c>
      <c r="Y2">
        <v>8</v>
      </c>
      <c r="Z2">
        <v>9</v>
      </c>
      <c r="AA2">
        <v>7</v>
      </c>
      <c r="AB2">
        <v>3</v>
      </c>
      <c r="AC2">
        <v>0</v>
      </c>
      <c r="AD2">
        <f>SUM(B2:AC2)</f>
        <v>161</v>
      </c>
      <c r="AE2" t="b">
        <f>AE72=AVERAGE(B2,I2,P2,W2)</f>
        <v>0</v>
      </c>
      <c r="AF2">
        <f t="shared" ref="AF2:AK2" si="0">AVERAGE(C2,J2,Q2,X2)</f>
        <v>7.5</v>
      </c>
      <c r="AG2">
        <f t="shared" si="0"/>
        <v>7</v>
      </c>
      <c r="AH2">
        <f t="shared" si="0"/>
        <v>8.5</v>
      </c>
      <c r="AI2">
        <f t="shared" si="0"/>
        <v>6</v>
      </c>
      <c r="AJ2">
        <f t="shared" si="0"/>
        <v>4.75</v>
      </c>
      <c r="AK2">
        <f t="shared" si="0"/>
        <v>0</v>
      </c>
      <c r="AL2" t="s">
        <v>83</v>
      </c>
      <c r="AM2">
        <f>AVERAGE(AE2:AI2)</f>
        <v>7.25</v>
      </c>
      <c r="AN2">
        <f>MAX(B2:AC2)</f>
        <v>11</v>
      </c>
      <c r="AO2">
        <f>AVERAGE(MAX(B2:F2),MAX(I2:M2),MAX(P2:T2),MAX(W2:AA2))</f>
        <v>9.5</v>
      </c>
      <c r="AP2">
        <f>MAX(AVERAGE(B2:F2),AVERAGE(I2:M2),AVERAGE(P2:T2),AVERAGE(W2:AA2))</f>
        <v>7.8</v>
      </c>
      <c r="AQ2" s="6" cm="1">
        <f t="array" ref="AQ2:AQ66">ROUNDUP(Max_of_Weekday_Average,0)</f>
        <v>8</v>
      </c>
      <c r="AR2" cm="1">
        <f t="array" ref="AR2:AR66">ROUNDUP(Weekday_Average,0)</f>
        <v>8</v>
      </c>
      <c r="AV2" cm="1">
        <f t="array" ref="AV2:AV66">ROUNDUP(Saturday,0)</f>
        <v>5</v>
      </c>
      <c r="AW2">
        <f>MAX(G2,N2,U2,AB2)</f>
        <v>6</v>
      </c>
      <c r="AX2">
        <f>AW2-AV2</f>
        <v>1</v>
      </c>
    </row>
    <row r="3" spans="1:50" x14ac:dyDescent="0.25">
      <c r="A3" t="s">
        <v>2</v>
      </c>
      <c r="B3">
        <v>6</v>
      </c>
      <c r="C3">
        <v>8</v>
      </c>
      <c r="D3">
        <v>5</v>
      </c>
      <c r="E3">
        <v>8</v>
      </c>
      <c r="F3">
        <v>8</v>
      </c>
      <c r="G3">
        <v>2</v>
      </c>
      <c r="H3">
        <v>0</v>
      </c>
      <c r="I3">
        <v>8</v>
      </c>
      <c r="J3">
        <v>8</v>
      </c>
      <c r="K3">
        <v>13</v>
      </c>
      <c r="L3">
        <v>11</v>
      </c>
      <c r="M3">
        <v>8</v>
      </c>
      <c r="N3">
        <v>4</v>
      </c>
      <c r="O3">
        <v>0</v>
      </c>
      <c r="P3">
        <v>6</v>
      </c>
      <c r="Q3">
        <v>8</v>
      </c>
      <c r="R3">
        <v>9</v>
      </c>
      <c r="S3">
        <v>10</v>
      </c>
      <c r="T3">
        <v>6</v>
      </c>
      <c r="U3">
        <v>3</v>
      </c>
      <c r="V3">
        <v>0</v>
      </c>
      <c r="W3">
        <v>11</v>
      </c>
      <c r="X3">
        <v>7</v>
      </c>
      <c r="Y3">
        <v>7</v>
      </c>
      <c r="Z3">
        <v>9</v>
      </c>
      <c r="AA3">
        <v>5</v>
      </c>
      <c r="AB3">
        <v>5</v>
      </c>
      <c r="AC3">
        <v>0</v>
      </c>
      <c r="AD3">
        <f t="shared" ref="AD3:AD66" si="1">SUM(B3:AC3)</f>
        <v>175</v>
      </c>
      <c r="AE3">
        <f t="shared" ref="AE3:AE66" si="2">AVERAGE(B3,I3,P3,W3)</f>
        <v>7.75</v>
      </c>
      <c r="AF3">
        <f t="shared" ref="AF3:AF66" si="3">AVERAGE(C3,J3,Q3,X3)</f>
        <v>7.75</v>
      </c>
      <c r="AG3">
        <f t="shared" ref="AG3:AG66" si="4">AVERAGE(D3,K3,R3,Y3)</f>
        <v>8.5</v>
      </c>
      <c r="AH3">
        <f t="shared" ref="AH3:AH66" si="5">AVERAGE(E3,L3,S3,Z3)</f>
        <v>9.5</v>
      </c>
      <c r="AI3">
        <f t="shared" ref="AI3:AI66" si="6">AVERAGE(F3,M3,T3,AA3)</f>
        <v>6.75</v>
      </c>
      <c r="AJ3">
        <f t="shared" ref="AJ3:AJ66" si="7">AVERAGE(G3,N3,U3,AB3)</f>
        <v>3.5</v>
      </c>
      <c r="AK3">
        <f t="shared" ref="AK3:AK66" si="8">AVERAGE(H3,O3,V3,AC3)</f>
        <v>0</v>
      </c>
      <c r="AL3" t="s">
        <v>83</v>
      </c>
      <c r="AM3">
        <f t="shared" ref="AM3:AM66" si="9">AVERAGE(AE3:AI3)</f>
        <v>8.0500000000000007</v>
      </c>
      <c r="AN3">
        <f t="shared" ref="AN3:AN66" si="10">MAX(B3:AC3)</f>
        <v>13</v>
      </c>
      <c r="AO3">
        <f t="shared" ref="AO3:AO66" si="11">AVERAGE(MAX(B3:F3),MAX(I3:M3),MAX(P3:T3),MAX(W3:AA3))</f>
        <v>10.5</v>
      </c>
      <c r="AP3">
        <f t="shared" ref="AP3:AP66" si="12">MAX(AVERAGE(B3:F3),AVERAGE(I3:M3),AVERAGE(P3:T3),AVERAGE(W3:AA3))</f>
        <v>9.6</v>
      </c>
      <c r="AQ3" s="6">
        <v>10</v>
      </c>
      <c r="AR3">
        <v>9</v>
      </c>
      <c r="AS3" t="s">
        <v>89</v>
      </c>
      <c r="AV3">
        <v>4</v>
      </c>
      <c r="AW3">
        <f t="shared" ref="AW3:AW66" si="13">MAX(G3,N3,U3,AB3)</f>
        <v>5</v>
      </c>
      <c r="AX3">
        <f t="shared" ref="AX3:AX66" si="14">AW3-AV3</f>
        <v>1</v>
      </c>
    </row>
    <row r="4" spans="1:50" x14ac:dyDescent="0.25">
      <c r="A4" t="s">
        <v>3</v>
      </c>
      <c r="B4">
        <v>9</v>
      </c>
      <c r="C4">
        <v>9</v>
      </c>
      <c r="D4">
        <v>8</v>
      </c>
      <c r="E4">
        <v>7</v>
      </c>
      <c r="F4">
        <v>14</v>
      </c>
      <c r="G4">
        <v>4</v>
      </c>
      <c r="H4">
        <v>0</v>
      </c>
      <c r="I4">
        <v>6</v>
      </c>
      <c r="J4">
        <v>10</v>
      </c>
      <c r="K4">
        <v>6</v>
      </c>
      <c r="L4">
        <v>5</v>
      </c>
      <c r="M4">
        <v>6</v>
      </c>
      <c r="N4">
        <v>4</v>
      </c>
      <c r="O4">
        <v>0</v>
      </c>
      <c r="P4">
        <v>8</v>
      </c>
      <c r="Q4">
        <v>8</v>
      </c>
      <c r="R4">
        <v>10</v>
      </c>
      <c r="S4">
        <v>3</v>
      </c>
      <c r="T4">
        <v>10</v>
      </c>
      <c r="U4">
        <v>6</v>
      </c>
      <c r="V4">
        <v>0</v>
      </c>
      <c r="W4">
        <v>7</v>
      </c>
      <c r="X4">
        <v>9</v>
      </c>
      <c r="Y4">
        <v>4</v>
      </c>
      <c r="Z4">
        <v>6</v>
      </c>
      <c r="AA4">
        <v>9</v>
      </c>
      <c r="AB4">
        <v>2</v>
      </c>
      <c r="AC4">
        <v>0</v>
      </c>
      <c r="AD4">
        <f t="shared" si="1"/>
        <v>170</v>
      </c>
      <c r="AE4">
        <f t="shared" si="2"/>
        <v>7.5</v>
      </c>
      <c r="AF4">
        <f t="shared" si="3"/>
        <v>9</v>
      </c>
      <c r="AG4">
        <f t="shared" si="4"/>
        <v>7</v>
      </c>
      <c r="AH4">
        <f t="shared" si="5"/>
        <v>5.25</v>
      </c>
      <c r="AI4">
        <f t="shared" si="6"/>
        <v>9.75</v>
      </c>
      <c r="AJ4">
        <f t="shared" si="7"/>
        <v>4</v>
      </c>
      <c r="AK4">
        <f t="shared" si="8"/>
        <v>0</v>
      </c>
      <c r="AL4" t="s">
        <v>83</v>
      </c>
      <c r="AM4">
        <f t="shared" si="9"/>
        <v>7.7</v>
      </c>
      <c r="AN4">
        <f t="shared" si="10"/>
        <v>14</v>
      </c>
      <c r="AO4">
        <f t="shared" si="11"/>
        <v>10.75</v>
      </c>
      <c r="AP4">
        <f t="shared" si="12"/>
        <v>9.4</v>
      </c>
      <c r="AQ4" s="6">
        <v>10</v>
      </c>
      <c r="AR4">
        <v>8</v>
      </c>
      <c r="AS4">
        <f>AVERAGE(Weekday_Average)</f>
        <v>7.3292307692307688</v>
      </c>
      <c r="AV4">
        <v>4</v>
      </c>
      <c r="AW4">
        <f t="shared" si="13"/>
        <v>6</v>
      </c>
      <c r="AX4">
        <f t="shared" si="14"/>
        <v>2</v>
      </c>
    </row>
    <row r="5" spans="1:50" x14ac:dyDescent="0.25">
      <c r="A5" t="s">
        <v>4</v>
      </c>
      <c r="B5">
        <v>9</v>
      </c>
      <c r="C5">
        <v>4</v>
      </c>
      <c r="D5">
        <v>8</v>
      </c>
      <c r="E5">
        <v>10</v>
      </c>
      <c r="F5">
        <v>7</v>
      </c>
      <c r="G5">
        <v>5</v>
      </c>
      <c r="H5">
        <v>0</v>
      </c>
      <c r="I5">
        <v>5</v>
      </c>
      <c r="J5">
        <v>6</v>
      </c>
      <c r="K5">
        <v>12</v>
      </c>
      <c r="L5">
        <v>10</v>
      </c>
      <c r="M5">
        <v>11</v>
      </c>
      <c r="N5">
        <v>2</v>
      </c>
      <c r="O5">
        <v>0</v>
      </c>
      <c r="P5">
        <v>7</v>
      </c>
      <c r="Q5">
        <v>5</v>
      </c>
      <c r="R5">
        <v>10</v>
      </c>
      <c r="S5">
        <v>10</v>
      </c>
      <c r="T5">
        <v>7</v>
      </c>
      <c r="U5">
        <v>6</v>
      </c>
      <c r="V5">
        <v>0</v>
      </c>
      <c r="W5">
        <v>9</v>
      </c>
      <c r="X5">
        <v>9</v>
      </c>
      <c r="Y5">
        <v>5</v>
      </c>
      <c r="Z5">
        <v>4</v>
      </c>
      <c r="AA5">
        <v>12</v>
      </c>
      <c r="AB5">
        <v>4</v>
      </c>
      <c r="AC5">
        <v>0</v>
      </c>
      <c r="AD5">
        <f t="shared" si="1"/>
        <v>177</v>
      </c>
      <c r="AE5">
        <f t="shared" si="2"/>
        <v>7.5</v>
      </c>
      <c r="AF5">
        <f t="shared" si="3"/>
        <v>6</v>
      </c>
      <c r="AG5">
        <f t="shared" si="4"/>
        <v>8.75</v>
      </c>
      <c r="AH5">
        <f t="shared" si="5"/>
        <v>8.5</v>
      </c>
      <c r="AI5">
        <f t="shared" si="6"/>
        <v>9.25</v>
      </c>
      <c r="AJ5">
        <f t="shared" si="7"/>
        <v>4.25</v>
      </c>
      <c r="AK5">
        <f t="shared" si="8"/>
        <v>0</v>
      </c>
      <c r="AL5" t="s">
        <v>83</v>
      </c>
      <c r="AM5">
        <f t="shared" si="9"/>
        <v>8</v>
      </c>
      <c r="AN5">
        <f t="shared" si="10"/>
        <v>12</v>
      </c>
      <c r="AO5">
        <f>AVERAGE(MAX(B5:F5),MAX(I5:M5),MAX(P5:T5),MAX(W5:AA5))</f>
        <v>11</v>
      </c>
      <c r="AP5">
        <f t="shared" si="12"/>
        <v>8.8000000000000007</v>
      </c>
      <c r="AQ5" s="6">
        <v>9</v>
      </c>
      <c r="AR5">
        <v>8</v>
      </c>
      <c r="AV5">
        <v>5</v>
      </c>
      <c r="AW5">
        <f t="shared" si="13"/>
        <v>6</v>
      </c>
      <c r="AX5">
        <f t="shared" si="14"/>
        <v>1</v>
      </c>
    </row>
    <row r="6" spans="1:50" x14ac:dyDescent="0.25">
      <c r="A6" t="s">
        <v>5</v>
      </c>
      <c r="B6">
        <v>6</v>
      </c>
      <c r="C6">
        <v>8</v>
      </c>
      <c r="D6">
        <v>7</v>
      </c>
      <c r="E6">
        <v>6</v>
      </c>
      <c r="F6">
        <v>6</v>
      </c>
      <c r="G6">
        <v>2</v>
      </c>
      <c r="H6">
        <v>0</v>
      </c>
      <c r="I6">
        <v>9</v>
      </c>
      <c r="J6">
        <v>4</v>
      </c>
      <c r="K6">
        <v>8</v>
      </c>
      <c r="L6">
        <v>10</v>
      </c>
      <c r="M6">
        <v>9</v>
      </c>
      <c r="N6">
        <v>2</v>
      </c>
      <c r="O6">
        <v>0</v>
      </c>
      <c r="P6">
        <v>6</v>
      </c>
      <c r="Q6">
        <v>7</v>
      </c>
      <c r="R6">
        <v>9</v>
      </c>
      <c r="S6">
        <v>9</v>
      </c>
      <c r="T6">
        <v>7</v>
      </c>
      <c r="U6">
        <v>3</v>
      </c>
      <c r="V6">
        <v>0</v>
      </c>
      <c r="W6">
        <v>8</v>
      </c>
      <c r="X6">
        <v>8</v>
      </c>
      <c r="Y6">
        <v>4</v>
      </c>
      <c r="Z6">
        <v>10</v>
      </c>
      <c r="AA6">
        <v>3</v>
      </c>
      <c r="AB6">
        <v>2</v>
      </c>
      <c r="AC6">
        <v>0</v>
      </c>
      <c r="AD6">
        <f t="shared" si="1"/>
        <v>153</v>
      </c>
      <c r="AE6">
        <f t="shared" si="2"/>
        <v>7.25</v>
      </c>
      <c r="AF6">
        <f t="shared" si="3"/>
        <v>6.75</v>
      </c>
      <c r="AG6">
        <f t="shared" si="4"/>
        <v>7</v>
      </c>
      <c r="AH6">
        <f t="shared" si="5"/>
        <v>8.75</v>
      </c>
      <c r="AI6">
        <f t="shared" si="6"/>
        <v>6.25</v>
      </c>
      <c r="AJ6">
        <f t="shared" si="7"/>
        <v>2.25</v>
      </c>
      <c r="AK6">
        <f t="shared" si="8"/>
        <v>0</v>
      </c>
      <c r="AL6" t="s">
        <v>83</v>
      </c>
      <c r="AM6">
        <f t="shared" si="9"/>
        <v>7.2</v>
      </c>
      <c r="AN6">
        <f t="shared" si="10"/>
        <v>10</v>
      </c>
      <c r="AO6">
        <f t="shared" si="11"/>
        <v>9.25</v>
      </c>
      <c r="AP6">
        <f t="shared" si="12"/>
        <v>8</v>
      </c>
      <c r="AQ6" s="6">
        <v>8</v>
      </c>
      <c r="AR6">
        <v>8</v>
      </c>
      <c r="AV6">
        <v>3</v>
      </c>
      <c r="AW6">
        <f t="shared" si="13"/>
        <v>3</v>
      </c>
      <c r="AX6">
        <f t="shared" si="14"/>
        <v>0</v>
      </c>
    </row>
    <row r="7" spans="1:50" x14ac:dyDescent="0.25">
      <c r="A7" t="s">
        <v>6</v>
      </c>
      <c r="B7">
        <v>9</v>
      </c>
      <c r="C7">
        <v>11</v>
      </c>
      <c r="D7">
        <v>7</v>
      </c>
      <c r="E7">
        <v>11</v>
      </c>
      <c r="F7">
        <v>9</v>
      </c>
      <c r="G7">
        <v>2</v>
      </c>
      <c r="H7">
        <v>0</v>
      </c>
      <c r="I7">
        <v>8</v>
      </c>
      <c r="J7">
        <v>8</v>
      </c>
      <c r="K7">
        <v>10</v>
      </c>
      <c r="L7">
        <v>9</v>
      </c>
      <c r="M7">
        <v>8</v>
      </c>
      <c r="N7">
        <v>4</v>
      </c>
      <c r="O7">
        <v>0</v>
      </c>
      <c r="P7">
        <v>7</v>
      </c>
      <c r="Q7">
        <v>7</v>
      </c>
      <c r="R7">
        <v>8</v>
      </c>
      <c r="S7">
        <v>8</v>
      </c>
      <c r="T7">
        <v>6</v>
      </c>
      <c r="U7">
        <v>3</v>
      </c>
      <c r="V7">
        <v>0</v>
      </c>
      <c r="W7">
        <v>11</v>
      </c>
      <c r="X7">
        <v>6</v>
      </c>
      <c r="Y7">
        <v>8</v>
      </c>
      <c r="Z7">
        <v>9</v>
      </c>
      <c r="AA7">
        <v>4</v>
      </c>
      <c r="AB7">
        <v>5</v>
      </c>
      <c r="AC7">
        <v>0</v>
      </c>
      <c r="AD7">
        <f t="shared" si="1"/>
        <v>178</v>
      </c>
      <c r="AE7">
        <f t="shared" si="2"/>
        <v>8.75</v>
      </c>
      <c r="AF7">
        <f t="shared" si="3"/>
        <v>8</v>
      </c>
      <c r="AG7">
        <f t="shared" si="4"/>
        <v>8.25</v>
      </c>
      <c r="AH7">
        <f t="shared" si="5"/>
        <v>9.25</v>
      </c>
      <c r="AI7">
        <f t="shared" si="6"/>
        <v>6.75</v>
      </c>
      <c r="AJ7">
        <f t="shared" si="7"/>
        <v>3.5</v>
      </c>
      <c r="AK7">
        <f t="shared" si="8"/>
        <v>0</v>
      </c>
      <c r="AL7" t="s">
        <v>83</v>
      </c>
      <c r="AM7">
        <f t="shared" si="9"/>
        <v>8.1999999999999993</v>
      </c>
      <c r="AN7">
        <f t="shared" si="10"/>
        <v>11</v>
      </c>
      <c r="AO7">
        <f t="shared" si="11"/>
        <v>10</v>
      </c>
      <c r="AP7">
        <f t="shared" si="12"/>
        <v>9.4</v>
      </c>
      <c r="AQ7" s="6">
        <v>10</v>
      </c>
      <c r="AR7">
        <v>9</v>
      </c>
      <c r="AV7">
        <v>4</v>
      </c>
      <c r="AW7">
        <f t="shared" si="13"/>
        <v>5</v>
      </c>
      <c r="AX7">
        <f t="shared" si="14"/>
        <v>1</v>
      </c>
    </row>
    <row r="8" spans="1:50" x14ac:dyDescent="0.25">
      <c r="A8" t="s">
        <v>7</v>
      </c>
      <c r="B8">
        <v>14</v>
      </c>
      <c r="C8">
        <v>11</v>
      </c>
      <c r="D8">
        <v>6</v>
      </c>
      <c r="E8">
        <v>8</v>
      </c>
      <c r="F8">
        <v>14</v>
      </c>
      <c r="G8">
        <v>2</v>
      </c>
      <c r="H8">
        <v>0</v>
      </c>
      <c r="I8">
        <v>6</v>
      </c>
      <c r="J8">
        <v>5</v>
      </c>
      <c r="K8">
        <v>10</v>
      </c>
      <c r="L8">
        <v>9</v>
      </c>
      <c r="M8">
        <v>6</v>
      </c>
      <c r="N8">
        <v>4</v>
      </c>
      <c r="O8">
        <v>0</v>
      </c>
      <c r="P8">
        <v>10</v>
      </c>
      <c r="Q8">
        <v>3</v>
      </c>
      <c r="R8">
        <v>5</v>
      </c>
      <c r="S8">
        <v>7</v>
      </c>
      <c r="T8">
        <v>12</v>
      </c>
      <c r="U8">
        <v>6</v>
      </c>
      <c r="V8">
        <v>0</v>
      </c>
      <c r="W8">
        <v>9</v>
      </c>
      <c r="X8">
        <v>5</v>
      </c>
      <c r="Y8">
        <v>7</v>
      </c>
      <c r="Z8">
        <v>7</v>
      </c>
      <c r="AA8">
        <v>9</v>
      </c>
      <c r="AB8">
        <v>5</v>
      </c>
      <c r="AC8">
        <v>0</v>
      </c>
      <c r="AD8">
        <f t="shared" si="1"/>
        <v>180</v>
      </c>
      <c r="AE8">
        <f t="shared" si="2"/>
        <v>9.75</v>
      </c>
      <c r="AF8">
        <f t="shared" si="3"/>
        <v>6</v>
      </c>
      <c r="AG8">
        <f t="shared" si="4"/>
        <v>7</v>
      </c>
      <c r="AH8">
        <f t="shared" si="5"/>
        <v>7.75</v>
      </c>
      <c r="AI8">
        <f t="shared" si="6"/>
        <v>10.25</v>
      </c>
      <c r="AJ8">
        <f t="shared" si="7"/>
        <v>4.25</v>
      </c>
      <c r="AK8">
        <f t="shared" si="8"/>
        <v>0</v>
      </c>
      <c r="AL8" t="s">
        <v>83</v>
      </c>
      <c r="AM8">
        <f t="shared" si="9"/>
        <v>8.15</v>
      </c>
      <c r="AN8">
        <f t="shared" si="10"/>
        <v>14</v>
      </c>
      <c r="AO8">
        <f t="shared" si="11"/>
        <v>11.25</v>
      </c>
      <c r="AP8">
        <f t="shared" si="12"/>
        <v>10.6</v>
      </c>
      <c r="AQ8" s="6">
        <v>11</v>
      </c>
      <c r="AR8">
        <v>9</v>
      </c>
      <c r="AV8">
        <v>5</v>
      </c>
      <c r="AW8">
        <f t="shared" si="13"/>
        <v>6</v>
      </c>
      <c r="AX8">
        <f t="shared" si="14"/>
        <v>1</v>
      </c>
    </row>
    <row r="9" spans="1:50" x14ac:dyDescent="0.25">
      <c r="A9" t="s">
        <v>8</v>
      </c>
      <c r="B9">
        <v>8</v>
      </c>
      <c r="C9">
        <v>4</v>
      </c>
      <c r="D9">
        <v>8</v>
      </c>
      <c r="E9">
        <v>3</v>
      </c>
      <c r="F9">
        <v>4</v>
      </c>
      <c r="G9">
        <v>6</v>
      </c>
      <c r="H9">
        <v>0</v>
      </c>
      <c r="I9">
        <v>10</v>
      </c>
      <c r="J9">
        <v>6</v>
      </c>
      <c r="K9">
        <v>7</v>
      </c>
      <c r="L9">
        <v>8</v>
      </c>
      <c r="M9">
        <v>7</v>
      </c>
      <c r="N9">
        <v>3</v>
      </c>
      <c r="O9">
        <v>0</v>
      </c>
      <c r="P9">
        <v>6</v>
      </c>
      <c r="Q9">
        <v>8</v>
      </c>
      <c r="R9">
        <v>10</v>
      </c>
      <c r="S9">
        <v>5</v>
      </c>
      <c r="T9">
        <v>5</v>
      </c>
      <c r="U9">
        <v>6</v>
      </c>
      <c r="V9">
        <v>0</v>
      </c>
      <c r="W9">
        <v>9</v>
      </c>
      <c r="X9">
        <v>9</v>
      </c>
      <c r="Y9">
        <v>11</v>
      </c>
      <c r="Z9">
        <v>7</v>
      </c>
      <c r="AA9">
        <v>6</v>
      </c>
      <c r="AB9">
        <v>3</v>
      </c>
      <c r="AC9">
        <v>0</v>
      </c>
      <c r="AD9">
        <f t="shared" si="1"/>
        <v>159</v>
      </c>
      <c r="AE9">
        <f t="shared" si="2"/>
        <v>8.25</v>
      </c>
      <c r="AF9">
        <f t="shared" si="3"/>
        <v>6.75</v>
      </c>
      <c r="AG9">
        <f t="shared" si="4"/>
        <v>9</v>
      </c>
      <c r="AH9">
        <f t="shared" si="5"/>
        <v>5.75</v>
      </c>
      <c r="AI9">
        <f t="shared" si="6"/>
        <v>5.5</v>
      </c>
      <c r="AJ9">
        <f t="shared" si="7"/>
        <v>4.5</v>
      </c>
      <c r="AK9">
        <f t="shared" si="8"/>
        <v>0</v>
      </c>
      <c r="AL9" t="s">
        <v>83</v>
      </c>
      <c r="AM9">
        <f t="shared" si="9"/>
        <v>7.05</v>
      </c>
      <c r="AN9">
        <f t="shared" si="10"/>
        <v>11</v>
      </c>
      <c r="AO9">
        <f t="shared" si="11"/>
        <v>9.75</v>
      </c>
      <c r="AP9">
        <f t="shared" si="12"/>
        <v>8.4</v>
      </c>
      <c r="AQ9" s="6">
        <v>9</v>
      </c>
      <c r="AR9">
        <v>8</v>
      </c>
      <c r="AV9">
        <v>5</v>
      </c>
      <c r="AW9">
        <f t="shared" si="13"/>
        <v>6</v>
      </c>
      <c r="AX9">
        <f t="shared" si="14"/>
        <v>1</v>
      </c>
    </row>
    <row r="10" spans="1:50" x14ac:dyDescent="0.25">
      <c r="A10" t="s">
        <v>9</v>
      </c>
      <c r="B10">
        <v>10</v>
      </c>
      <c r="C10">
        <v>10</v>
      </c>
      <c r="D10">
        <v>13</v>
      </c>
      <c r="E10">
        <v>7</v>
      </c>
      <c r="F10">
        <v>9</v>
      </c>
      <c r="G10">
        <v>4</v>
      </c>
      <c r="H10">
        <v>0</v>
      </c>
      <c r="I10">
        <v>5</v>
      </c>
      <c r="J10">
        <v>12</v>
      </c>
      <c r="K10">
        <v>8</v>
      </c>
      <c r="L10">
        <v>9</v>
      </c>
      <c r="M10">
        <v>11</v>
      </c>
      <c r="N10">
        <v>4</v>
      </c>
      <c r="O10">
        <v>0</v>
      </c>
      <c r="P10">
        <v>8</v>
      </c>
      <c r="Q10">
        <v>12</v>
      </c>
      <c r="R10">
        <v>6</v>
      </c>
      <c r="S10">
        <v>5</v>
      </c>
      <c r="T10">
        <v>10</v>
      </c>
      <c r="U10">
        <v>2</v>
      </c>
      <c r="V10">
        <v>0</v>
      </c>
      <c r="W10">
        <v>8</v>
      </c>
      <c r="X10">
        <v>6</v>
      </c>
      <c r="Y10">
        <v>10</v>
      </c>
      <c r="Z10">
        <v>3</v>
      </c>
      <c r="AA10">
        <v>5</v>
      </c>
      <c r="AB10">
        <v>4</v>
      </c>
      <c r="AC10">
        <v>0</v>
      </c>
      <c r="AD10">
        <f t="shared" si="1"/>
        <v>181</v>
      </c>
      <c r="AE10">
        <f t="shared" si="2"/>
        <v>7.75</v>
      </c>
      <c r="AF10">
        <f t="shared" si="3"/>
        <v>10</v>
      </c>
      <c r="AG10">
        <f t="shared" si="4"/>
        <v>9.25</v>
      </c>
      <c r="AH10">
        <f t="shared" si="5"/>
        <v>6</v>
      </c>
      <c r="AI10">
        <f t="shared" si="6"/>
        <v>8.75</v>
      </c>
      <c r="AJ10">
        <f t="shared" si="7"/>
        <v>3.5</v>
      </c>
      <c r="AK10">
        <f t="shared" si="8"/>
        <v>0</v>
      </c>
      <c r="AL10" t="s">
        <v>83</v>
      </c>
      <c r="AM10">
        <f t="shared" si="9"/>
        <v>8.35</v>
      </c>
      <c r="AN10">
        <f t="shared" si="10"/>
        <v>13</v>
      </c>
      <c r="AO10">
        <f t="shared" si="11"/>
        <v>11.75</v>
      </c>
      <c r="AP10">
        <f t="shared" si="12"/>
        <v>9.8000000000000007</v>
      </c>
      <c r="AQ10" s="6">
        <v>10</v>
      </c>
      <c r="AR10">
        <v>9</v>
      </c>
      <c r="AV10">
        <v>4</v>
      </c>
      <c r="AW10">
        <f t="shared" si="13"/>
        <v>4</v>
      </c>
      <c r="AX10">
        <f t="shared" si="14"/>
        <v>0</v>
      </c>
    </row>
    <row r="11" spans="1:50" x14ac:dyDescent="0.25">
      <c r="A11" t="s">
        <v>10</v>
      </c>
      <c r="B11">
        <v>11</v>
      </c>
      <c r="C11">
        <v>9</v>
      </c>
      <c r="D11">
        <v>9</v>
      </c>
      <c r="E11">
        <v>7</v>
      </c>
      <c r="F11">
        <v>5</v>
      </c>
      <c r="G11">
        <v>2</v>
      </c>
      <c r="H11">
        <v>0</v>
      </c>
      <c r="I11">
        <v>7</v>
      </c>
      <c r="J11">
        <v>7</v>
      </c>
      <c r="K11">
        <v>10</v>
      </c>
      <c r="L11">
        <v>4</v>
      </c>
      <c r="M11">
        <v>12</v>
      </c>
      <c r="N11">
        <v>3</v>
      </c>
      <c r="O11">
        <v>0</v>
      </c>
      <c r="P11">
        <v>8</v>
      </c>
      <c r="Q11">
        <v>9</v>
      </c>
      <c r="R11">
        <v>13</v>
      </c>
      <c r="S11">
        <v>11</v>
      </c>
      <c r="T11">
        <v>8</v>
      </c>
      <c r="U11">
        <v>2</v>
      </c>
      <c r="V11">
        <v>0</v>
      </c>
      <c r="W11">
        <v>11</v>
      </c>
      <c r="X11">
        <v>6</v>
      </c>
      <c r="Y11">
        <v>11</v>
      </c>
      <c r="Z11">
        <v>3</v>
      </c>
      <c r="AA11">
        <v>11</v>
      </c>
      <c r="AB11">
        <v>5</v>
      </c>
      <c r="AC11">
        <v>0</v>
      </c>
      <c r="AD11">
        <f t="shared" si="1"/>
        <v>184</v>
      </c>
      <c r="AE11">
        <f t="shared" si="2"/>
        <v>9.25</v>
      </c>
      <c r="AF11">
        <f t="shared" si="3"/>
        <v>7.75</v>
      </c>
      <c r="AG11">
        <f t="shared" si="4"/>
        <v>10.75</v>
      </c>
      <c r="AH11">
        <f t="shared" si="5"/>
        <v>6.25</v>
      </c>
      <c r="AI11">
        <f t="shared" si="6"/>
        <v>9</v>
      </c>
      <c r="AJ11">
        <f t="shared" si="7"/>
        <v>3</v>
      </c>
      <c r="AK11">
        <f t="shared" si="8"/>
        <v>0</v>
      </c>
      <c r="AL11" t="s">
        <v>83</v>
      </c>
      <c r="AM11">
        <f t="shared" si="9"/>
        <v>8.6</v>
      </c>
      <c r="AN11">
        <f t="shared" si="10"/>
        <v>13</v>
      </c>
      <c r="AO11">
        <f t="shared" si="11"/>
        <v>11.75</v>
      </c>
      <c r="AP11">
        <f t="shared" si="12"/>
        <v>9.8000000000000007</v>
      </c>
      <c r="AQ11" s="6">
        <v>10</v>
      </c>
      <c r="AR11">
        <v>9</v>
      </c>
      <c r="AV11">
        <v>3</v>
      </c>
      <c r="AW11">
        <f t="shared" si="13"/>
        <v>5</v>
      </c>
      <c r="AX11">
        <f t="shared" si="14"/>
        <v>2</v>
      </c>
    </row>
    <row r="12" spans="1:50" x14ac:dyDescent="0.25">
      <c r="A12" t="s">
        <v>11</v>
      </c>
      <c r="B12">
        <v>8</v>
      </c>
      <c r="C12">
        <v>11</v>
      </c>
      <c r="D12">
        <v>3</v>
      </c>
      <c r="E12">
        <v>6</v>
      </c>
      <c r="F12">
        <v>12</v>
      </c>
      <c r="G12">
        <v>6</v>
      </c>
      <c r="H12">
        <v>0</v>
      </c>
      <c r="I12">
        <v>6</v>
      </c>
      <c r="J12">
        <v>5</v>
      </c>
      <c r="K12">
        <v>13</v>
      </c>
      <c r="L12">
        <v>10</v>
      </c>
      <c r="M12">
        <v>9</v>
      </c>
      <c r="N12">
        <v>6</v>
      </c>
      <c r="O12">
        <v>0</v>
      </c>
      <c r="P12">
        <v>5</v>
      </c>
      <c r="Q12">
        <v>11</v>
      </c>
      <c r="R12">
        <v>6</v>
      </c>
      <c r="S12">
        <v>11</v>
      </c>
      <c r="T12">
        <v>6</v>
      </c>
      <c r="U12">
        <v>6</v>
      </c>
      <c r="V12">
        <v>0</v>
      </c>
      <c r="W12">
        <v>10</v>
      </c>
      <c r="X12">
        <v>7</v>
      </c>
      <c r="Y12">
        <v>11</v>
      </c>
      <c r="Z12">
        <v>9</v>
      </c>
      <c r="AA12">
        <v>7</v>
      </c>
      <c r="AB12">
        <v>4</v>
      </c>
      <c r="AC12">
        <v>0</v>
      </c>
      <c r="AD12">
        <f t="shared" si="1"/>
        <v>188</v>
      </c>
      <c r="AE12">
        <f t="shared" si="2"/>
        <v>7.25</v>
      </c>
      <c r="AF12">
        <f t="shared" si="3"/>
        <v>8.5</v>
      </c>
      <c r="AG12">
        <f t="shared" si="4"/>
        <v>8.25</v>
      </c>
      <c r="AH12">
        <f t="shared" si="5"/>
        <v>9</v>
      </c>
      <c r="AI12">
        <f t="shared" si="6"/>
        <v>8.5</v>
      </c>
      <c r="AJ12">
        <f t="shared" si="7"/>
        <v>5.5</v>
      </c>
      <c r="AK12">
        <f t="shared" si="8"/>
        <v>0</v>
      </c>
      <c r="AL12" t="s">
        <v>83</v>
      </c>
      <c r="AM12">
        <f t="shared" si="9"/>
        <v>8.3000000000000007</v>
      </c>
      <c r="AN12">
        <f t="shared" si="10"/>
        <v>13</v>
      </c>
      <c r="AO12">
        <f t="shared" si="11"/>
        <v>11.75</v>
      </c>
      <c r="AP12">
        <f t="shared" si="12"/>
        <v>8.8000000000000007</v>
      </c>
      <c r="AQ12" s="6">
        <v>9</v>
      </c>
      <c r="AR12">
        <v>9</v>
      </c>
      <c r="AV12">
        <v>6</v>
      </c>
      <c r="AW12">
        <f t="shared" si="13"/>
        <v>6</v>
      </c>
      <c r="AX12">
        <f t="shared" si="14"/>
        <v>0</v>
      </c>
    </row>
    <row r="13" spans="1:50" x14ac:dyDescent="0.25">
      <c r="A13" t="s">
        <v>12</v>
      </c>
      <c r="B13">
        <v>7</v>
      </c>
      <c r="C13">
        <v>5</v>
      </c>
      <c r="D13">
        <v>8</v>
      </c>
      <c r="E13">
        <v>6</v>
      </c>
      <c r="F13">
        <v>6</v>
      </c>
      <c r="G13">
        <v>2</v>
      </c>
      <c r="H13">
        <v>0</v>
      </c>
      <c r="I13">
        <v>9</v>
      </c>
      <c r="J13">
        <v>13</v>
      </c>
      <c r="K13">
        <v>9</v>
      </c>
      <c r="L13">
        <v>4</v>
      </c>
      <c r="M13">
        <v>9</v>
      </c>
      <c r="N13">
        <v>4</v>
      </c>
      <c r="O13">
        <v>0</v>
      </c>
      <c r="P13">
        <v>5</v>
      </c>
      <c r="Q13">
        <v>6</v>
      </c>
      <c r="R13">
        <v>9</v>
      </c>
      <c r="S13">
        <v>6</v>
      </c>
      <c r="T13">
        <v>10</v>
      </c>
      <c r="U13">
        <v>5</v>
      </c>
      <c r="V13">
        <v>0</v>
      </c>
      <c r="W13">
        <v>10</v>
      </c>
      <c r="X13">
        <v>8</v>
      </c>
      <c r="Y13">
        <v>6</v>
      </c>
      <c r="Z13">
        <v>7</v>
      </c>
      <c r="AA13">
        <v>3</v>
      </c>
      <c r="AB13">
        <v>6</v>
      </c>
      <c r="AC13">
        <v>0</v>
      </c>
      <c r="AD13">
        <f t="shared" si="1"/>
        <v>163</v>
      </c>
      <c r="AE13">
        <f t="shared" si="2"/>
        <v>7.75</v>
      </c>
      <c r="AF13">
        <f t="shared" si="3"/>
        <v>8</v>
      </c>
      <c r="AG13">
        <f t="shared" si="4"/>
        <v>8</v>
      </c>
      <c r="AH13">
        <f t="shared" si="5"/>
        <v>5.75</v>
      </c>
      <c r="AI13">
        <f t="shared" si="6"/>
        <v>7</v>
      </c>
      <c r="AJ13">
        <f t="shared" si="7"/>
        <v>4.25</v>
      </c>
      <c r="AK13">
        <f t="shared" si="8"/>
        <v>0</v>
      </c>
      <c r="AL13" t="s">
        <v>83</v>
      </c>
      <c r="AM13">
        <f t="shared" si="9"/>
        <v>7.3</v>
      </c>
      <c r="AN13">
        <f t="shared" si="10"/>
        <v>13</v>
      </c>
      <c r="AO13">
        <f t="shared" si="11"/>
        <v>10.25</v>
      </c>
      <c r="AP13">
        <f t="shared" si="12"/>
        <v>8.8000000000000007</v>
      </c>
      <c r="AQ13" s="6">
        <v>9</v>
      </c>
      <c r="AR13">
        <v>8</v>
      </c>
      <c r="AV13">
        <v>5</v>
      </c>
      <c r="AW13">
        <f t="shared" si="13"/>
        <v>6</v>
      </c>
      <c r="AX13">
        <f t="shared" si="14"/>
        <v>1</v>
      </c>
    </row>
    <row r="14" spans="1:50" x14ac:dyDescent="0.25">
      <c r="A14" t="s">
        <v>13</v>
      </c>
      <c r="B14">
        <v>11</v>
      </c>
      <c r="C14">
        <v>9</v>
      </c>
      <c r="D14">
        <v>5</v>
      </c>
      <c r="E14">
        <v>6</v>
      </c>
      <c r="F14">
        <v>10</v>
      </c>
      <c r="G14">
        <v>5</v>
      </c>
      <c r="H14">
        <v>0</v>
      </c>
      <c r="I14">
        <v>8</v>
      </c>
      <c r="J14">
        <v>5</v>
      </c>
      <c r="K14">
        <v>8</v>
      </c>
      <c r="L14">
        <v>4</v>
      </c>
      <c r="M14">
        <v>8</v>
      </c>
      <c r="N14">
        <v>3</v>
      </c>
      <c r="O14">
        <v>0</v>
      </c>
      <c r="P14">
        <v>12</v>
      </c>
      <c r="Q14">
        <v>8</v>
      </c>
      <c r="R14">
        <v>6</v>
      </c>
      <c r="S14">
        <v>8</v>
      </c>
      <c r="T14">
        <v>8</v>
      </c>
      <c r="U14">
        <v>6</v>
      </c>
      <c r="V14">
        <v>0</v>
      </c>
      <c r="W14">
        <v>5</v>
      </c>
      <c r="X14">
        <v>6</v>
      </c>
      <c r="Y14">
        <v>8</v>
      </c>
      <c r="Z14">
        <v>11</v>
      </c>
      <c r="AA14">
        <v>12</v>
      </c>
      <c r="AB14">
        <v>3</v>
      </c>
      <c r="AC14">
        <v>0</v>
      </c>
      <c r="AD14">
        <f t="shared" si="1"/>
        <v>175</v>
      </c>
      <c r="AE14">
        <f t="shared" si="2"/>
        <v>9</v>
      </c>
      <c r="AF14">
        <f t="shared" si="3"/>
        <v>7</v>
      </c>
      <c r="AG14">
        <f t="shared" si="4"/>
        <v>6.75</v>
      </c>
      <c r="AH14">
        <f t="shared" si="5"/>
        <v>7.25</v>
      </c>
      <c r="AI14">
        <f t="shared" si="6"/>
        <v>9.5</v>
      </c>
      <c r="AJ14">
        <f t="shared" si="7"/>
        <v>4.25</v>
      </c>
      <c r="AK14">
        <f t="shared" si="8"/>
        <v>0</v>
      </c>
      <c r="AL14" t="s">
        <v>83</v>
      </c>
      <c r="AM14">
        <f t="shared" si="9"/>
        <v>7.9</v>
      </c>
      <c r="AN14">
        <f t="shared" si="10"/>
        <v>12</v>
      </c>
      <c r="AO14">
        <f t="shared" si="11"/>
        <v>10.75</v>
      </c>
      <c r="AP14">
        <f t="shared" si="12"/>
        <v>8.4</v>
      </c>
      <c r="AQ14" s="6">
        <v>9</v>
      </c>
      <c r="AR14">
        <v>8</v>
      </c>
      <c r="AV14">
        <v>5</v>
      </c>
      <c r="AW14">
        <f t="shared" si="13"/>
        <v>6</v>
      </c>
      <c r="AX14">
        <f t="shared" si="14"/>
        <v>1</v>
      </c>
    </row>
    <row r="15" spans="1:50" x14ac:dyDescent="0.25">
      <c r="A15" t="s">
        <v>14</v>
      </c>
      <c r="B15">
        <v>5</v>
      </c>
      <c r="C15">
        <v>8</v>
      </c>
      <c r="D15">
        <v>9</v>
      </c>
      <c r="E15">
        <v>8</v>
      </c>
      <c r="F15">
        <v>7</v>
      </c>
      <c r="G15">
        <v>2</v>
      </c>
      <c r="H15">
        <v>0</v>
      </c>
      <c r="I15">
        <v>10</v>
      </c>
      <c r="J15">
        <v>5</v>
      </c>
      <c r="K15">
        <v>7</v>
      </c>
      <c r="L15">
        <v>7</v>
      </c>
      <c r="M15">
        <v>12</v>
      </c>
      <c r="N15">
        <v>4</v>
      </c>
      <c r="O15">
        <v>0</v>
      </c>
      <c r="P15">
        <v>10</v>
      </c>
      <c r="Q15">
        <v>6</v>
      </c>
      <c r="R15">
        <v>7</v>
      </c>
      <c r="S15">
        <v>12</v>
      </c>
      <c r="T15">
        <v>8</v>
      </c>
      <c r="U15">
        <v>3</v>
      </c>
      <c r="V15">
        <v>0</v>
      </c>
      <c r="W15">
        <v>4</v>
      </c>
      <c r="X15">
        <v>12</v>
      </c>
      <c r="Y15">
        <v>4</v>
      </c>
      <c r="Z15">
        <v>7</v>
      </c>
      <c r="AA15">
        <v>5</v>
      </c>
      <c r="AB15">
        <v>2</v>
      </c>
      <c r="AC15">
        <v>0</v>
      </c>
      <c r="AD15">
        <f t="shared" si="1"/>
        <v>164</v>
      </c>
      <c r="AE15">
        <f t="shared" si="2"/>
        <v>7.25</v>
      </c>
      <c r="AF15">
        <f t="shared" si="3"/>
        <v>7.75</v>
      </c>
      <c r="AG15">
        <f t="shared" si="4"/>
        <v>6.75</v>
      </c>
      <c r="AH15">
        <f t="shared" si="5"/>
        <v>8.5</v>
      </c>
      <c r="AI15">
        <f t="shared" si="6"/>
        <v>8</v>
      </c>
      <c r="AJ15">
        <f t="shared" si="7"/>
        <v>2.75</v>
      </c>
      <c r="AK15">
        <f t="shared" si="8"/>
        <v>0</v>
      </c>
      <c r="AL15" t="s">
        <v>83</v>
      </c>
      <c r="AM15">
        <f t="shared" si="9"/>
        <v>7.65</v>
      </c>
      <c r="AN15">
        <f t="shared" si="10"/>
        <v>12</v>
      </c>
      <c r="AO15">
        <f t="shared" si="11"/>
        <v>11.25</v>
      </c>
      <c r="AP15">
        <f t="shared" si="12"/>
        <v>8.6</v>
      </c>
      <c r="AQ15" s="6">
        <v>9</v>
      </c>
      <c r="AR15">
        <v>8</v>
      </c>
      <c r="AV15">
        <v>3</v>
      </c>
      <c r="AW15">
        <f t="shared" si="13"/>
        <v>4</v>
      </c>
      <c r="AX15">
        <f t="shared" si="14"/>
        <v>1</v>
      </c>
    </row>
    <row r="16" spans="1:50" x14ac:dyDescent="0.25">
      <c r="A16" t="s">
        <v>15</v>
      </c>
      <c r="B16">
        <v>11</v>
      </c>
      <c r="C16">
        <v>8</v>
      </c>
      <c r="D16">
        <v>8</v>
      </c>
      <c r="E16">
        <v>4</v>
      </c>
      <c r="F16">
        <v>10</v>
      </c>
      <c r="G16">
        <v>6</v>
      </c>
      <c r="H16">
        <v>0</v>
      </c>
      <c r="I16">
        <v>9</v>
      </c>
      <c r="J16">
        <v>9</v>
      </c>
      <c r="K16">
        <v>7</v>
      </c>
      <c r="L16">
        <v>9</v>
      </c>
      <c r="M16">
        <v>7</v>
      </c>
      <c r="N16">
        <v>6</v>
      </c>
      <c r="O16">
        <v>0</v>
      </c>
      <c r="P16">
        <v>9</v>
      </c>
      <c r="Q16">
        <v>11</v>
      </c>
      <c r="R16">
        <v>8</v>
      </c>
      <c r="S16">
        <v>12</v>
      </c>
      <c r="T16">
        <v>8</v>
      </c>
      <c r="U16">
        <v>6</v>
      </c>
      <c r="V16">
        <v>0</v>
      </c>
      <c r="W16">
        <v>8</v>
      </c>
      <c r="X16">
        <v>11</v>
      </c>
      <c r="Y16">
        <v>8</v>
      </c>
      <c r="Z16">
        <v>10</v>
      </c>
      <c r="AA16">
        <v>5</v>
      </c>
      <c r="AB16">
        <v>6</v>
      </c>
      <c r="AC16">
        <v>0</v>
      </c>
      <c r="AD16">
        <f t="shared" si="1"/>
        <v>196</v>
      </c>
      <c r="AE16">
        <f t="shared" si="2"/>
        <v>9.25</v>
      </c>
      <c r="AF16">
        <f t="shared" si="3"/>
        <v>9.75</v>
      </c>
      <c r="AG16">
        <f t="shared" si="4"/>
        <v>7.75</v>
      </c>
      <c r="AH16">
        <f t="shared" si="5"/>
        <v>8.75</v>
      </c>
      <c r="AI16">
        <f t="shared" si="6"/>
        <v>7.5</v>
      </c>
      <c r="AJ16">
        <f t="shared" si="7"/>
        <v>6</v>
      </c>
      <c r="AK16">
        <f t="shared" si="8"/>
        <v>0</v>
      </c>
      <c r="AL16" t="s">
        <v>83</v>
      </c>
      <c r="AM16">
        <f t="shared" si="9"/>
        <v>8.6</v>
      </c>
      <c r="AN16">
        <f t="shared" si="10"/>
        <v>12</v>
      </c>
      <c r="AO16">
        <f t="shared" si="11"/>
        <v>10.75</v>
      </c>
      <c r="AP16">
        <f t="shared" si="12"/>
        <v>9.6</v>
      </c>
      <c r="AQ16" s="6">
        <v>10</v>
      </c>
      <c r="AR16">
        <v>9</v>
      </c>
      <c r="AV16">
        <v>6</v>
      </c>
      <c r="AW16">
        <f t="shared" si="13"/>
        <v>6</v>
      </c>
      <c r="AX16">
        <f t="shared" si="14"/>
        <v>0</v>
      </c>
    </row>
    <row r="17" spans="1:50" x14ac:dyDescent="0.25">
      <c r="A17" t="s">
        <v>16</v>
      </c>
      <c r="B17">
        <v>9</v>
      </c>
      <c r="C17">
        <v>10</v>
      </c>
      <c r="D17">
        <v>8</v>
      </c>
      <c r="E17">
        <v>11</v>
      </c>
      <c r="F17">
        <v>13</v>
      </c>
      <c r="G17">
        <v>3</v>
      </c>
      <c r="H17">
        <v>0</v>
      </c>
      <c r="I17">
        <v>9</v>
      </c>
      <c r="J17">
        <v>15</v>
      </c>
      <c r="K17">
        <v>12</v>
      </c>
      <c r="L17">
        <v>8</v>
      </c>
      <c r="M17">
        <v>6</v>
      </c>
      <c r="N17">
        <v>4</v>
      </c>
      <c r="O17">
        <v>0</v>
      </c>
      <c r="P17">
        <v>6</v>
      </c>
      <c r="Q17">
        <v>8</v>
      </c>
      <c r="R17">
        <v>5</v>
      </c>
      <c r="S17">
        <v>8</v>
      </c>
      <c r="T17">
        <v>10</v>
      </c>
      <c r="U17">
        <v>5</v>
      </c>
      <c r="V17">
        <v>0</v>
      </c>
      <c r="W17">
        <v>9</v>
      </c>
      <c r="X17">
        <v>6</v>
      </c>
      <c r="Y17">
        <v>9</v>
      </c>
      <c r="Z17">
        <v>8</v>
      </c>
      <c r="AA17">
        <v>9</v>
      </c>
      <c r="AB17">
        <v>4</v>
      </c>
      <c r="AC17">
        <v>0</v>
      </c>
      <c r="AD17">
        <f t="shared" si="1"/>
        <v>195</v>
      </c>
      <c r="AE17">
        <f t="shared" si="2"/>
        <v>8.25</v>
      </c>
      <c r="AF17">
        <f t="shared" si="3"/>
        <v>9.75</v>
      </c>
      <c r="AG17">
        <f t="shared" si="4"/>
        <v>8.5</v>
      </c>
      <c r="AH17">
        <f t="shared" si="5"/>
        <v>8.75</v>
      </c>
      <c r="AI17">
        <f t="shared" si="6"/>
        <v>9.5</v>
      </c>
      <c r="AJ17">
        <f t="shared" si="7"/>
        <v>4</v>
      </c>
      <c r="AK17">
        <f t="shared" si="8"/>
        <v>0</v>
      </c>
      <c r="AL17" t="s">
        <v>83</v>
      </c>
      <c r="AM17">
        <f t="shared" si="9"/>
        <v>8.9499999999999993</v>
      </c>
      <c r="AN17">
        <f t="shared" si="10"/>
        <v>15</v>
      </c>
      <c r="AO17">
        <f t="shared" si="11"/>
        <v>11.75</v>
      </c>
      <c r="AP17">
        <f t="shared" si="12"/>
        <v>10.199999999999999</v>
      </c>
      <c r="AQ17" s="6">
        <v>11</v>
      </c>
      <c r="AR17">
        <v>9</v>
      </c>
      <c r="AV17">
        <v>4</v>
      </c>
      <c r="AW17">
        <f t="shared" si="13"/>
        <v>5</v>
      </c>
      <c r="AX17">
        <f t="shared" si="14"/>
        <v>1</v>
      </c>
    </row>
    <row r="18" spans="1:50" x14ac:dyDescent="0.25">
      <c r="A18" t="s">
        <v>17</v>
      </c>
      <c r="B18">
        <v>7</v>
      </c>
      <c r="C18">
        <v>9</v>
      </c>
      <c r="D18">
        <v>11</v>
      </c>
      <c r="E18">
        <v>8</v>
      </c>
      <c r="F18">
        <v>10</v>
      </c>
      <c r="G18">
        <v>4</v>
      </c>
      <c r="H18">
        <v>0</v>
      </c>
      <c r="I18">
        <v>5</v>
      </c>
      <c r="J18">
        <v>13</v>
      </c>
      <c r="K18">
        <v>6</v>
      </c>
      <c r="L18">
        <v>12</v>
      </c>
      <c r="M18">
        <v>9</v>
      </c>
      <c r="N18">
        <v>5</v>
      </c>
      <c r="O18">
        <v>0</v>
      </c>
      <c r="P18">
        <v>5</v>
      </c>
      <c r="Q18">
        <v>7</v>
      </c>
      <c r="R18">
        <v>6</v>
      </c>
      <c r="S18">
        <v>7</v>
      </c>
      <c r="T18">
        <v>6</v>
      </c>
      <c r="U18">
        <v>5</v>
      </c>
      <c r="V18">
        <v>0</v>
      </c>
      <c r="W18">
        <v>7</v>
      </c>
      <c r="X18">
        <v>9</v>
      </c>
      <c r="Y18">
        <v>7</v>
      </c>
      <c r="Z18">
        <v>15</v>
      </c>
      <c r="AA18">
        <v>4</v>
      </c>
      <c r="AB18">
        <v>2</v>
      </c>
      <c r="AC18">
        <v>0</v>
      </c>
      <c r="AD18">
        <f t="shared" si="1"/>
        <v>179</v>
      </c>
      <c r="AE18">
        <f t="shared" si="2"/>
        <v>6</v>
      </c>
      <c r="AF18">
        <f t="shared" si="3"/>
        <v>9.5</v>
      </c>
      <c r="AG18">
        <f t="shared" si="4"/>
        <v>7.5</v>
      </c>
      <c r="AH18">
        <f t="shared" si="5"/>
        <v>10.5</v>
      </c>
      <c r="AI18">
        <f t="shared" si="6"/>
        <v>7.25</v>
      </c>
      <c r="AJ18">
        <f t="shared" si="7"/>
        <v>4</v>
      </c>
      <c r="AK18">
        <f t="shared" si="8"/>
        <v>0</v>
      </c>
      <c r="AL18" t="s">
        <v>83</v>
      </c>
      <c r="AM18">
        <f t="shared" si="9"/>
        <v>8.15</v>
      </c>
      <c r="AN18">
        <f t="shared" si="10"/>
        <v>15</v>
      </c>
      <c r="AO18">
        <f t="shared" si="11"/>
        <v>11.5</v>
      </c>
      <c r="AP18">
        <f t="shared" si="12"/>
        <v>9</v>
      </c>
      <c r="AQ18" s="6">
        <v>9</v>
      </c>
      <c r="AR18">
        <v>9</v>
      </c>
      <c r="AV18">
        <v>4</v>
      </c>
      <c r="AW18">
        <f t="shared" si="13"/>
        <v>5</v>
      </c>
      <c r="AX18">
        <f t="shared" si="14"/>
        <v>1</v>
      </c>
    </row>
    <row r="19" spans="1:50" x14ac:dyDescent="0.25">
      <c r="A19" t="s">
        <v>18</v>
      </c>
      <c r="B19">
        <v>9</v>
      </c>
      <c r="C19">
        <v>9</v>
      </c>
      <c r="D19">
        <v>10</v>
      </c>
      <c r="E19">
        <v>7</v>
      </c>
      <c r="F19">
        <v>4</v>
      </c>
      <c r="G19">
        <v>4</v>
      </c>
      <c r="H19">
        <v>0</v>
      </c>
      <c r="I19">
        <v>6</v>
      </c>
      <c r="J19">
        <v>11</v>
      </c>
      <c r="K19">
        <v>6</v>
      </c>
      <c r="L19">
        <v>9</v>
      </c>
      <c r="M19">
        <v>10</v>
      </c>
      <c r="N19">
        <v>4</v>
      </c>
      <c r="O19">
        <v>0</v>
      </c>
      <c r="P19">
        <v>5</v>
      </c>
      <c r="Q19">
        <v>9</v>
      </c>
      <c r="R19">
        <v>9</v>
      </c>
      <c r="S19">
        <v>7</v>
      </c>
      <c r="T19">
        <v>12</v>
      </c>
      <c r="U19">
        <v>6</v>
      </c>
      <c r="V19">
        <v>0</v>
      </c>
      <c r="W19">
        <v>9</v>
      </c>
      <c r="X19">
        <v>9</v>
      </c>
      <c r="Y19">
        <v>7</v>
      </c>
      <c r="Z19">
        <v>6</v>
      </c>
      <c r="AA19">
        <v>14</v>
      </c>
      <c r="AB19">
        <v>4</v>
      </c>
      <c r="AC19">
        <v>0</v>
      </c>
      <c r="AD19">
        <f t="shared" si="1"/>
        <v>186</v>
      </c>
      <c r="AE19">
        <f t="shared" si="2"/>
        <v>7.25</v>
      </c>
      <c r="AF19">
        <f t="shared" si="3"/>
        <v>9.5</v>
      </c>
      <c r="AG19">
        <f t="shared" si="4"/>
        <v>8</v>
      </c>
      <c r="AH19">
        <f t="shared" si="5"/>
        <v>7.25</v>
      </c>
      <c r="AI19">
        <f t="shared" si="6"/>
        <v>10</v>
      </c>
      <c r="AJ19">
        <f t="shared" si="7"/>
        <v>4.5</v>
      </c>
      <c r="AK19">
        <f t="shared" si="8"/>
        <v>0</v>
      </c>
      <c r="AL19" t="s">
        <v>83</v>
      </c>
      <c r="AM19">
        <f t="shared" si="9"/>
        <v>8.4</v>
      </c>
      <c r="AN19">
        <f t="shared" si="10"/>
        <v>14</v>
      </c>
      <c r="AO19">
        <f t="shared" si="11"/>
        <v>11.75</v>
      </c>
      <c r="AP19">
        <f t="shared" si="12"/>
        <v>9</v>
      </c>
      <c r="AQ19" s="6">
        <v>9</v>
      </c>
      <c r="AR19">
        <v>9</v>
      </c>
      <c r="AV19">
        <v>5</v>
      </c>
      <c r="AW19">
        <f t="shared" si="13"/>
        <v>6</v>
      </c>
      <c r="AX19">
        <f t="shared" si="14"/>
        <v>1</v>
      </c>
    </row>
    <row r="20" spans="1:50" x14ac:dyDescent="0.25">
      <c r="A20" t="s">
        <v>19</v>
      </c>
      <c r="B20">
        <v>12</v>
      </c>
      <c r="C20">
        <v>11</v>
      </c>
      <c r="D20">
        <v>7</v>
      </c>
      <c r="E20">
        <v>9</v>
      </c>
      <c r="F20">
        <v>6</v>
      </c>
      <c r="G20">
        <v>6</v>
      </c>
      <c r="H20">
        <v>0</v>
      </c>
      <c r="I20">
        <v>11</v>
      </c>
      <c r="J20">
        <v>6</v>
      </c>
      <c r="K20">
        <v>4</v>
      </c>
      <c r="L20">
        <v>9</v>
      </c>
      <c r="M20">
        <v>8</v>
      </c>
      <c r="N20">
        <v>4</v>
      </c>
      <c r="O20">
        <v>0</v>
      </c>
      <c r="P20">
        <v>7</v>
      </c>
      <c r="Q20">
        <v>6</v>
      </c>
      <c r="R20">
        <v>12</v>
      </c>
      <c r="S20">
        <v>7</v>
      </c>
      <c r="T20">
        <v>9</v>
      </c>
      <c r="U20">
        <v>2</v>
      </c>
      <c r="V20">
        <v>0</v>
      </c>
      <c r="W20">
        <v>6</v>
      </c>
      <c r="X20">
        <v>10</v>
      </c>
      <c r="Y20">
        <v>8</v>
      </c>
      <c r="Z20">
        <v>7</v>
      </c>
      <c r="AA20">
        <v>8</v>
      </c>
      <c r="AB20">
        <v>2</v>
      </c>
      <c r="AC20">
        <v>0</v>
      </c>
      <c r="AD20">
        <f t="shared" si="1"/>
        <v>177</v>
      </c>
      <c r="AE20">
        <f t="shared" si="2"/>
        <v>9</v>
      </c>
      <c r="AF20">
        <f t="shared" si="3"/>
        <v>8.25</v>
      </c>
      <c r="AG20">
        <f t="shared" si="4"/>
        <v>7.75</v>
      </c>
      <c r="AH20">
        <f t="shared" si="5"/>
        <v>8</v>
      </c>
      <c r="AI20">
        <f t="shared" si="6"/>
        <v>7.75</v>
      </c>
      <c r="AJ20">
        <f t="shared" si="7"/>
        <v>3.5</v>
      </c>
      <c r="AK20">
        <f t="shared" si="8"/>
        <v>0</v>
      </c>
      <c r="AL20" t="s">
        <v>83</v>
      </c>
      <c r="AM20">
        <f t="shared" si="9"/>
        <v>8.15</v>
      </c>
      <c r="AN20">
        <f t="shared" si="10"/>
        <v>12</v>
      </c>
      <c r="AO20">
        <f t="shared" si="11"/>
        <v>11.25</v>
      </c>
      <c r="AP20">
        <f t="shared" si="12"/>
        <v>9</v>
      </c>
      <c r="AQ20" s="6">
        <v>9</v>
      </c>
      <c r="AR20">
        <v>9</v>
      </c>
      <c r="AV20">
        <v>4</v>
      </c>
      <c r="AW20">
        <f t="shared" si="13"/>
        <v>6</v>
      </c>
      <c r="AX20">
        <f t="shared" si="14"/>
        <v>2</v>
      </c>
    </row>
    <row r="21" spans="1:50" x14ac:dyDescent="0.25">
      <c r="A21" t="s">
        <v>20</v>
      </c>
      <c r="B21">
        <v>7</v>
      </c>
      <c r="C21">
        <v>7</v>
      </c>
      <c r="D21">
        <v>7</v>
      </c>
      <c r="E21">
        <v>5</v>
      </c>
      <c r="F21">
        <v>5</v>
      </c>
      <c r="G21">
        <v>4</v>
      </c>
      <c r="H21">
        <v>0</v>
      </c>
      <c r="I21">
        <v>6</v>
      </c>
      <c r="J21">
        <v>8</v>
      </c>
      <c r="K21">
        <v>5</v>
      </c>
      <c r="L21">
        <v>9</v>
      </c>
      <c r="M21">
        <v>9</v>
      </c>
      <c r="N21">
        <v>5</v>
      </c>
      <c r="O21">
        <v>0</v>
      </c>
      <c r="P21">
        <v>7</v>
      </c>
      <c r="Q21">
        <v>9</v>
      </c>
      <c r="R21">
        <v>8</v>
      </c>
      <c r="S21">
        <v>4</v>
      </c>
      <c r="T21">
        <v>8</v>
      </c>
      <c r="U21">
        <v>5</v>
      </c>
      <c r="V21">
        <v>0</v>
      </c>
      <c r="W21">
        <v>6</v>
      </c>
      <c r="X21">
        <v>7</v>
      </c>
      <c r="Y21">
        <v>7</v>
      </c>
      <c r="Z21">
        <v>6</v>
      </c>
      <c r="AA21">
        <v>9</v>
      </c>
      <c r="AB21">
        <v>2</v>
      </c>
      <c r="AC21">
        <v>0</v>
      </c>
      <c r="AD21">
        <f t="shared" si="1"/>
        <v>155</v>
      </c>
      <c r="AE21">
        <f t="shared" si="2"/>
        <v>6.5</v>
      </c>
      <c r="AF21">
        <f t="shared" si="3"/>
        <v>7.75</v>
      </c>
      <c r="AG21">
        <f t="shared" si="4"/>
        <v>6.75</v>
      </c>
      <c r="AH21">
        <f t="shared" si="5"/>
        <v>6</v>
      </c>
      <c r="AI21">
        <f t="shared" si="6"/>
        <v>7.75</v>
      </c>
      <c r="AJ21">
        <f t="shared" si="7"/>
        <v>4</v>
      </c>
      <c r="AK21">
        <f t="shared" si="8"/>
        <v>0</v>
      </c>
      <c r="AL21" t="s">
        <v>83</v>
      </c>
      <c r="AM21">
        <f t="shared" si="9"/>
        <v>6.95</v>
      </c>
      <c r="AN21">
        <f t="shared" si="10"/>
        <v>9</v>
      </c>
      <c r="AO21">
        <f t="shared" si="11"/>
        <v>8.5</v>
      </c>
      <c r="AP21">
        <f t="shared" si="12"/>
        <v>7.4</v>
      </c>
      <c r="AQ21" s="6">
        <v>8</v>
      </c>
      <c r="AR21">
        <v>7</v>
      </c>
      <c r="AV21">
        <v>4</v>
      </c>
      <c r="AW21">
        <f t="shared" si="13"/>
        <v>5</v>
      </c>
      <c r="AX21">
        <f t="shared" si="14"/>
        <v>1</v>
      </c>
    </row>
    <row r="22" spans="1:50" x14ac:dyDescent="0.25">
      <c r="A22" t="s">
        <v>21</v>
      </c>
      <c r="B22">
        <v>7</v>
      </c>
      <c r="C22">
        <v>7</v>
      </c>
      <c r="D22">
        <v>4</v>
      </c>
      <c r="E22">
        <v>11</v>
      </c>
      <c r="F22">
        <v>8</v>
      </c>
      <c r="G22">
        <v>2</v>
      </c>
      <c r="H22">
        <v>0</v>
      </c>
      <c r="I22">
        <v>7</v>
      </c>
      <c r="J22">
        <v>9</v>
      </c>
      <c r="K22">
        <v>9</v>
      </c>
      <c r="L22">
        <v>15</v>
      </c>
      <c r="M22">
        <v>10</v>
      </c>
      <c r="N22">
        <v>5</v>
      </c>
      <c r="O22">
        <v>0</v>
      </c>
      <c r="P22">
        <v>9</v>
      </c>
      <c r="Q22">
        <v>7</v>
      </c>
      <c r="R22">
        <v>8</v>
      </c>
      <c r="S22">
        <v>10</v>
      </c>
      <c r="T22">
        <v>9</v>
      </c>
      <c r="U22">
        <v>4</v>
      </c>
      <c r="V22">
        <v>0</v>
      </c>
      <c r="W22">
        <v>9</v>
      </c>
      <c r="X22">
        <v>7</v>
      </c>
      <c r="Y22">
        <v>9</v>
      </c>
      <c r="Z22">
        <v>9</v>
      </c>
      <c r="AA22">
        <v>10</v>
      </c>
      <c r="AB22">
        <v>3</v>
      </c>
      <c r="AC22">
        <v>0</v>
      </c>
      <c r="AD22">
        <f t="shared" si="1"/>
        <v>188</v>
      </c>
      <c r="AE22">
        <f t="shared" si="2"/>
        <v>8</v>
      </c>
      <c r="AF22">
        <f t="shared" si="3"/>
        <v>7.5</v>
      </c>
      <c r="AG22">
        <f t="shared" si="4"/>
        <v>7.5</v>
      </c>
      <c r="AH22">
        <f t="shared" si="5"/>
        <v>11.25</v>
      </c>
      <c r="AI22">
        <f t="shared" si="6"/>
        <v>9.25</v>
      </c>
      <c r="AJ22">
        <f t="shared" si="7"/>
        <v>3.5</v>
      </c>
      <c r="AK22">
        <f t="shared" si="8"/>
        <v>0</v>
      </c>
      <c r="AL22" t="s">
        <v>83</v>
      </c>
      <c r="AM22">
        <f t="shared" si="9"/>
        <v>8.6999999999999993</v>
      </c>
      <c r="AN22">
        <f t="shared" si="10"/>
        <v>15</v>
      </c>
      <c r="AO22">
        <f t="shared" si="11"/>
        <v>11.5</v>
      </c>
      <c r="AP22">
        <f t="shared" si="12"/>
        <v>10</v>
      </c>
      <c r="AQ22" s="6">
        <v>10</v>
      </c>
      <c r="AR22">
        <v>9</v>
      </c>
      <c r="AV22">
        <v>4</v>
      </c>
      <c r="AW22">
        <f t="shared" si="13"/>
        <v>5</v>
      </c>
      <c r="AX22">
        <f t="shared" si="14"/>
        <v>1</v>
      </c>
    </row>
    <row r="23" spans="1:50" x14ac:dyDescent="0.25">
      <c r="A23" t="s">
        <v>22</v>
      </c>
      <c r="B23">
        <v>9</v>
      </c>
      <c r="C23">
        <v>9</v>
      </c>
      <c r="D23">
        <v>7</v>
      </c>
      <c r="E23">
        <v>9</v>
      </c>
      <c r="F23">
        <v>6</v>
      </c>
      <c r="G23">
        <v>4</v>
      </c>
      <c r="H23">
        <v>0</v>
      </c>
      <c r="I23">
        <v>6</v>
      </c>
      <c r="J23">
        <v>6</v>
      </c>
      <c r="K23">
        <v>9</v>
      </c>
      <c r="L23">
        <v>10</v>
      </c>
      <c r="M23">
        <v>8</v>
      </c>
      <c r="N23">
        <v>3</v>
      </c>
      <c r="O23">
        <v>0</v>
      </c>
      <c r="P23">
        <v>12</v>
      </c>
      <c r="Q23">
        <v>6</v>
      </c>
      <c r="R23">
        <v>7</v>
      </c>
      <c r="S23">
        <v>7</v>
      </c>
      <c r="T23">
        <v>10</v>
      </c>
      <c r="U23">
        <v>4</v>
      </c>
      <c r="V23">
        <v>0</v>
      </c>
      <c r="W23">
        <v>9</v>
      </c>
      <c r="X23">
        <v>5</v>
      </c>
      <c r="Y23">
        <v>6</v>
      </c>
      <c r="Z23">
        <v>10</v>
      </c>
      <c r="AA23">
        <v>8</v>
      </c>
      <c r="AB23">
        <v>3</v>
      </c>
      <c r="AC23">
        <v>0</v>
      </c>
      <c r="AD23">
        <f t="shared" si="1"/>
        <v>173</v>
      </c>
      <c r="AE23">
        <f t="shared" si="2"/>
        <v>9</v>
      </c>
      <c r="AF23">
        <f t="shared" si="3"/>
        <v>6.5</v>
      </c>
      <c r="AG23">
        <f t="shared" si="4"/>
        <v>7.25</v>
      </c>
      <c r="AH23">
        <f t="shared" si="5"/>
        <v>9</v>
      </c>
      <c r="AI23">
        <f t="shared" si="6"/>
        <v>8</v>
      </c>
      <c r="AJ23">
        <f t="shared" si="7"/>
        <v>3.5</v>
      </c>
      <c r="AK23">
        <f t="shared" si="8"/>
        <v>0</v>
      </c>
      <c r="AL23" t="s">
        <v>83</v>
      </c>
      <c r="AM23">
        <f t="shared" si="9"/>
        <v>7.95</v>
      </c>
      <c r="AN23">
        <f t="shared" si="10"/>
        <v>12</v>
      </c>
      <c r="AO23">
        <f t="shared" si="11"/>
        <v>10.25</v>
      </c>
      <c r="AP23">
        <f t="shared" si="12"/>
        <v>8.4</v>
      </c>
      <c r="AQ23" s="6">
        <v>9</v>
      </c>
      <c r="AR23">
        <v>8</v>
      </c>
      <c r="AV23">
        <v>4</v>
      </c>
      <c r="AW23">
        <f t="shared" si="13"/>
        <v>4</v>
      </c>
      <c r="AX23">
        <f t="shared" si="14"/>
        <v>0</v>
      </c>
    </row>
    <row r="24" spans="1:50" x14ac:dyDescent="0.25">
      <c r="A24" t="s">
        <v>23</v>
      </c>
      <c r="B24">
        <v>9</v>
      </c>
      <c r="C24">
        <v>4</v>
      </c>
      <c r="D24">
        <v>4</v>
      </c>
      <c r="E24">
        <v>7</v>
      </c>
      <c r="F24">
        <v>13</v>
      </c>
      <c r="G24">
        <v>2</v>
      </c>
      <c r="H24">
        <v>0</v>
      </c>
      <c r="I24">
        <v>9</v>
      </c>
      <c r="J24">
        <v>7</v>
      </c>
      <c r="K24">
        <v>10</v>
      </c>
      <c r="L24">
        <v>9</v>
      </c>
      <c r="M24">
        <v>5</v>
      </c>
      <c r="N24">
        <v>3</v>
      </c>
      <c r="O24">
        <v>0</v>
      </c>
      <c r="P24">
        <v>3</v>
      </c>
      <c r="Q24">
        <v>4</v>
      </c>
      <c r="R24">
        <v>9</v>
      </c>
      <c r="S24">
        <v>7</v>
      </c>
      <c r="T24">
        <v>7</v>
      </c>
      <c r="U24">
        <v>4</v>
      </c>
      <c r="V24">
        <v>0</v>
      </c>
      <c r="W24">
        <v>7</v>
      </c>
      <c r="X24">
        <v>7</v>
      </c>
      <c r="Y24">
        <v>9</v>
      </c>
      <c r="Z24">
        <v>7</v>
      </c>
      <c r="AA24">
        <v>6</v>
      </c>
      <c r="AB24">
        <v>6</v>
      </c>
      <c r="AC24">
        <v>0</v>
      </c>
      <c r="AD24">
        <f t="shared" si="1"/>
        <v>158</v>
      </c>
      <c r="AE24">
        <f t="shared" si="2"/>
        <v>7</v>
      </c>
      <c r="AF24">
        <f t="shared" si="3"/>
        <v>5.5</v>
      </c>
      <c r="AG24">
        <f t="shared" si="4"/>
        <v>8</v>
      </c>
      <c r="AH24">
        <f t="shared" si="5"/>
        <v>7.5</v>
      </c>
      <c r="AI24">
        <f t="shared" si="6"/>
        <v>7.75</v>
      </c>
      <c r="AJ24">
        <f t="shared" si="7"/>
        <v>3.75</v>
      </c>
      <c r="AK24">
        <f t="shared" si="8"/>
        <v>0</v>
      </c>
      <c r="AL24" t="s">
        <v>83</v>
      </c>
      <c r="AM24">
        <f t="shared" si="9"/>
        <v>7.15</v>
      </c>
      <c r="AN24">
        <f t="shared" si="10"/>
        <v>13</v>
      </c>
      <c r="AO24">
        <f t="shared" si="11"/>
        <v>10.25</v>
      </c>
      <c r="AP24">
        <f t="shared" si="12"/>
        <v>8</v>
      </c>
      <c r="AQ24" s="6">
        <v>8</v>
      </c>
      <c r="AR24">
        <v>8</v>
      </c>
      <c r="AV24">
        <v>4</v>
      </c>
      <c r="AW24">
        <f t="shared" si="13"/>
        <v>6</v>
      </c>
      <c r="AX24">
        <f t="shared" si="14"/>
        <v>2</v>
      </c>
    </row>
    <row r="25" spans="1:50" x14ac:dyDescent="0.25">
      <c r="A25" t="s">
        <v>24</v>
      </c>
      <c r="B25">
        <v>8</v>
      </c>
      <c r="C25">
        <v>9</v>
      </c>
      <c r="D25">
        <v>5</v>
      </c>
      <c r="E25">
        <v>8</v>
      </c>
      <c r="F25">
        <v>5</v>
      </c>
      <c r="G25">
        <v>6</v>
      </c>
      <c r="H25">
        <v>0</v>
      </c>
      <c r="I25">
        <v>5</v>
      </c>
      <c r="J25">
        <v>9</v>
      </c>
      <c r="K25">
        <v>9</v>
      </c>
      <c r="L25">
        <v>3</v>
      </c>
      <c r="M25">
        <v>10</v>
      </c>
      <c r="N25">
        <v>6</v>
      </c>
      <c r="O25">
        <v>0</v>
      </c>
      <c r="P25">
        <v>7</v>
      </c>
      <c r="Q25">
        <v>8</v>
      </c>
      <c r="R25">
        <v>10</v>
      </c>
      <c r="S25">
        <v>10</v>
      </c>
      <c r="T25">
        <v>8</v>
      </c>
      <c r="U25">
        <v>6</v>
      </c>
      <c r="V25">
        <v>0</v>
      </c>
      <c r="W25">
        <v>5</v>
      </c>
      <c r="X25">
        <v>11</v>
      </c>
      <c r="Y25">
        <v>8</v>
      </c>
      <c r="Z25">
        <v>5</v>
      </c>
      <c r="AA25">
        <v>8</v>
      </c>
      <c r="AB25">
        <v>6</v>
      </c>
      <c r="AC25">
        <v>0</v>
      </c>
      <c r="AD25">
        <f t="shared" si="1"/>
        <v>175</v>
      </c>
      <c r="AE25">
        <f t="shared" si="2"/>
        <v>6.25</v>
      </c>
      <c r="AF25">
        <f t="shared" si="3"/>
        <v>9.25</v>
      </c>
      <c r="AG25">
        <f t="shared" si="4"/>
        <v>8</v>
      </c>
      <c r="AH25">
        <f t="shared" si="5"/>
        <v>6.5</v>
      </c>
      <c r="AI25">
        <f t="shared" si="6"/>
        <v>7.75</v>
      </c>
      <c r="AJ25">
        <f t="shared" si="7"/>
        <v>6</v>
      </c>
      <c r="AK25">
        <f t="shared" si="8"/>
        <v>0</v>
      </c>
      <c r="AL25" t="s">
        <v>83</v>
      </c>
      <c r="AM25">
        <f t="shared" si="9"/>
        <v>7.55</v>
      </c>
      <c r="AN25">
        <f t="shared" si="10"/>
        <v>11</v>
      </c>
      <c r="AO25">
        <f t="shared" si="11"/>
        <v>10</v>
      </c>
      <c r="AP25">
        <f t="shared" si="12"/>
        <v>8.6</v>
      </c>
      <c r="AQ25" s="6">
        <v>9</v>
      </c>
      <c r="AR25">
        <v>8</v>
      </c>
      <c r="AV25">
        <v>6</v>
      </c>
      <c r="AW25">
        <f t="shared" si="13"/>
        <v>6</v>
      </c>
      <c r="AX25">
        <f t="shared" si="14"/>
        <v>0</v>
      </c>
    </row>
    <row r="26" spans="1:50" x14ac:dyDescent="0.25">
      <c r="A26" t="s">
        <v>25</v>
      </c>
      <c r="B26">
        <v>8</v>
      </c>
      <c r="C26">
        <v>10</v>
      </c>
      <c r="D26">
        <v>8</v>
      </c>
      <c r="E26">
        <v>4</v>
      </c>
      <c r="F26">
        <v>8</v>
      </c>
      <c r="G26">
        <v>5</v>
      </c>
      <c r="H26">
        <v>0</v>
      </c>
      <c r="I26">
        <v>8</v>
      </c>
      <c r="J26">
        <v>11</v>
      </c>
      <c r="K26">
        <v>10</v>
      </c>
      <c r="L26">
        <v>8</v>
      </c>
      <c r="M26">
        <v>8</v>
      </c>
      <c r="N26">
        <v>2</v>
      </c>
      <c r="O26">
        <v>0</v>
      </c>
      <c r="P26">
        <v>11</v>
      </c>
      <c r="Q26">
        <v>12</v>
      </c>
      <c r="R26">
        <v>12</v>
      </c>
      <c r="S26">
        <v>6</v>
      </c>
      <c r="T26">
        <v>9</v>
      </c>
      <c r="U26">
        <v>3</v>
      </c>
      <c r="V26">
        <v>0</v>
      </c>
      <c r="W26">
        <v>5</v>
      </c>
      <c r="X26">
        <v>7</v>
      </c>
      <c r="Y26">
        <v>6</v>
      </c>
      <c r="Z26">
        <v>6</v>
      </c>
      <c r="AA26">
        <v>10</v>
      </c>
      <c r="AB26">
        <v>5</v>
      </c>
      <c r="AC26">
        <v>0</v>
      </c>
      <c r="AD26">
        <f t="shared" si="1"/>
        <v>182</v>
      </c>
      <c r="AE26">
        <f t="shared" si="2"/>
        <v>8</v>
      </c>
      <c r="AF26">
        <f t="shared" si="3"/>
        <v>10</v>
      </c>
      <c r="AG26">
        <f t="shared" si="4"/>
        <v>9</v>
      </c>
      <c r="AH26">
        <f t="shared" si="5"/>
        <v>6</v>
      </c>
      <c r="AI26">
        <f t="shared" si="6"/>
        <v>8.75</v>
      </c>
      <c r="AJ26">
        <f t="shared" si="7"/>
        <v>3.75</v>
      </c>
      <c r="AK26">
        <f t="shared" si="8"/>
        <v>0</v>
      </c>
      <c r="AL26" t="s">
        <v>83</v>
      </c>
      <c r="AM26">
        <f t="shared" si="9"/>
        <v>8.35</v>
      </c>
      <c r="AN26">
        <f t="shared" si="10"/>
        <v>12</v>
      </c>
      <c r="AO26">
        <f t="shared" si="11"/>
        <v>10.75</v>
      </c>
      <c r="AP26">
        <f t="shared" si="12"/>
        <v>10</v>
      </c>
      <c r="AQ26" s="6">
        <v>10</v>
      </c>
      <c r="AR26">
        <v>9</v>
      </c>
      <c r="AV26">
        <v>4</v>
      </c>
      <c r="AW26">
        <f t="shared" si="13"/>
        <v>5</v>
      </c>
      <c r="AX26">
        <f t="shared" si="14"/>
        <v>1</v>
      </c>
    </row>
    <row r="27" spans="1:50" x14ac:dyDescent="0.25">
      <c r="A27" t="s">
        <v>26</v>
      </c>
      <c r="B27">
        <v>6</v>
      </c>
      <c r="C27">
        <v>8</v>
      </c>
      <c r="D27">
        <v>7</v>
      </c>
      <c r="E27">
        <v>8</v>
      </c>
      <c r="F27">
        <v>11</v>
      </c>
      <c r="G27">
        <v>4</v>
      </c>
      <c r="H27">
        <v>0</v>
      </c>
      <c r="I27">
        <v>8</v>
      </c>
      <c r="J27">
        <v>5</v>
      </c>
      <c r="K27">
        <v>7</v>
      </c>
      <c r="L27">
        <v>11</v>
      </c>
      <c r="M27">
        <v>12</v>
      </c>
      <c r="N27">
        <v>2</v>
      </c>
      <c r="O27">
        <v>0</v>
      </c>
      <c r="P27">
        <v>8</v>
      </c>
      <c r="Q27">
        <v>9</v>
      </c>
      <c r="R27">
        <v>5</v>
      </c>
      <c r="S27">
        <v>8</v>
      </c>
      <c r="T27">
        <v>8</v>
      </c>
      <c r="U27">
        <v>6</v>
      </c>
      <c r="V27">
        <v>0</v>
      </c>
      <c r="W27">
        <v>9</v>
      </c>
      <c r="X27">
        <v>8</v>
      </c>
      <c r="Y27">
        <v>10</v>
      </c>
      <c r="Z27">
        <v>7</v>
      </c>
      <c r="AA27">
        <v>6</v>
      </c>
      <c r="AB27">
        <v>2</v>
      </c>
      <c r="AC27">
        <v>0</v>
      </c>
      <c r="AD27">
        <f t="shared" si="1"/>
        <v>175</v>
      </c>
      <c r="AE27">
        <f t="shared" si="2"/>
        <v>7.75</v>
      </c>
      <c r="AF27">
        <f t="shared" si="3"/>
        <v>7.5</v>
      </c>
      <c r="AG27">
        <f t="shared" si="4"/>
        <v>7.25</v>
      </c>
      <c r="AH27">
        <f t="shared" si="5"/>
        <v>8.5</v>
      </c>
      <c r="AI27">
        <f t="shared" si="6"/>
        <v>9.25</v>
      </c>
      <c r="AJ27">
        <f t="shared" si="7"/>
        <v>3.5</v>
      </c>
      <c r="AK27">
        <f t="shared" si="8"/>
        <v>0</v>
      </c>
      <c r="AL27" t="s">
        <v>83</v>
      </c>
      <c r="AM27">
        <f t="shared" si="9"/>
        <v>8.0500000000000007</v>
      </c>
      <c r="AN27">
        <f t="shared" si="10"/>
        <v>12</v>
      </c>
      <c r="AO27">
        <f t="shared" si="11"/>
        <v>10.5</v>
      </c>
      <c r="AP27">
        <f t="shared" si="12"/>
        <v>8.6</v>
      </c>
      <c r="AQ27" s="6">
        <v>9</v>
      </c>
      <c r="AR27">
        <v>9</v>
      </c>
      <c r="AV27">
        <v>4</v>
      </c>
      <c r="AW27">
        <f t="shared" si="13"/>
        <v>6</v>
      </c>
      <c r="AX27">
        <f t="shared" si="14"/>
        <v>2</v>
      </c>
    </row>
    <row r="28" spans="1:50" x14ac:dyDescent="0.25">
      <c r="A28" t="s">
        <v>27</v>
      </c>
      <c r="B28">
        <v>11</v>
      </c>
      <c r="C28">
        <v>4</v>
      </c>
      <c r="D28">
        <v>8</v>
      </c>
      <c r="E28">
        <v>12</v>
      </c>
      <c r="F28">
        <v>7</v>
      </c>
      <c r="G28">
        <v>3</v>
      </c>
      <c r="H28">
        <v>0</v>
      </c>
      <c r="I28">
        <v>7</v>
      </c>
      <c r="J28">
        <v>7</v>
      </c>
      <c r="K28">
        <v>8</v>
      </c>
      <c r="L28">
        <v>7</v>
      </c>
      <c r="M28">
        <v>9</v>
      </c>
      <c r="N28">
        <v>5</v>
      </c>
      <c r="O28">
        <v>0</v>
      </c>
      <c r="P28">
        <v>11</v>
      </c>
      <c r="Q28">
        <v>5</v>
      </c>
      <c r="R28">
        <v>6</v>
      </c>
      <c r="S28">
        <v>8</v>
      </c>
      <c r="T28">
        <v>10</v>
      </c>
      <c r="U28">
        <v>4</v>
      </c>
      <c r="V28">
        <v>0</v>
      </c>
      <c r="W28">
        <v>11</v>
      </c>
      <c r="X28">
        <v>6</v>
      </c>
      <c r="Y28">
        <v>10</v>
      </c>
      <c r="Z28">
        <v>4</v>
      </c>
      <c r="AA28">
        <v>9</v>
      </c>
      <c r="AB28">
        <v>5</v>
      </c>
      <c r="AC28">
        <v>0</v>
      </c>
      <c r="AD28">
        <f t="shared" si="1"/>
        <v>177</v>
      </c>
      <c r="AE28">
        <f t="shared" si="2"/>
        <v>10</v>
      </c>
      <c r="AF28">
        <f t="shared" si="3"/>
        <v>5.5</v>
      </c>
      <c r="AG28">
        <f t="shared" si="4"/>
        <v>8</v>
      </c>
      <c r="AH28">
        <f t="shared" si="5"/>
        <v>7.75</v>
      </c>
      <c r="AI28">
        <f t="shared" si="6"/>
        <v>8.75</v>
      </c>
      <c r="AJ28">
        <f t="shared" si="7"/>
        <v>4.25</v>
      </c>
      <c r="AK28">
        <f t="shared" si="8"/>
        <v>0</v>
      </c>
      <c r="AL28" t="s">
        <v>83</v>
      </c>
      <c r="AM28">
        <f t="shared" si="9"/>
        <v>8</v>
      </c>
      <c r="AN28">
        <f t="shared" si="10"/>
        <v>12</v>
      </c>
      <c r="AO28">
        <f t="shared" si="11"/>
        <v>10.75</v>
      </c>
      <c r="AP28">
        <f t="shared" si="12"/>
        <v>8.4</v>
      </c>
      <c r="AQ28" s="6">
        <v>9</v>
      </c>
      <c r="AR28">
        <v>8</v>
      </c>
      <c r="AV28">
        <v>5</v>
      </c>
      <c r="AW28">
        <f t="shared" si="13"/>
        <v>5</v>
      </c>
      <c r="AX28">
        <f t="shared" si="14"/>
        <v>0</v>
      </c>
    </row>
    <row r="29" spans="1:50" x14ac:dyDescent="0.25">
      <c r="A29" t="s">
        <v>28</v>
      </c>
      <c r="B29">
        <v>6</v>
      </c>
      <c r="C29">
        <v>9</v>
      </c>
      <c r="D29">
        <v>12</v>
      </c>
      <c r="E29">
        <v>6</v>
      </c>
      <c r="F29">
        <v>11</v>
      </c>
      <c r="G29">
        <v>3</v>
      </c>
      <c r="H29">
        <v>0</v>
      </c>
      <c r="I29">
        <v>10</v>
      </c>
      <c r="J29">
        <v>10</v>
      </c>
      <c r="K29">
        <v>9</v>
      </c>
      <c r="L29">
        <v>8</v>
      </c>
      <c r="M29">
        <v>6</v>
      </c>
      <c r="N29">
        <v>3</v>
      </c>
      <c r="O29">
        <v>0</v>
      </c>
      <c r="P29">
        <v>8</v>
      </c>
      <c r="Q29">
        <v>10</v>
      </c>
      <c r="R29">
        <v>5</v>
      </c>
      <c r="S29">
        <v>11</v>
      </c>
      <c r="T29">
        <v>7</v>
      </c>
      <c r="U29">
        <v>2</v>
      </c>
      <c r="V29">
        <v>0</v>
      </c>
      <c r="W29">
        <v>9</v>
      </c>
      <c r="X29">
        <v>8</v>
      </c>
      <c r="Y29">
        <v>5</v>
      </c>
      <c r="Z29">
        <v>5</v>
      </c>
      <c r="AA29">
        <v>8</v>
      </c>
      <c r="AB29">
        <v>4</v>
      </c>
      <c r="AC29">
        <v>0</v>
      </c>
      <c r="AD29">
        <f t="shared" si="1"/>
        <v>175</v>
      </c>
      <c r="AE29">
        <f t="shared" si="2"/>
        <v>8.25</v>
      </c>
      <c r="AF29">
        <f t="shared" si="3"/>
        <v>9.25</v>
      </c>
      <c r="AG29">
        <f t="shared" si="4"/>
        <v>7.75</v>
      </c>
      <c r="AH29">
        <f t="shared" si="5"/>
        <v>7.5</v>
      </c>
      <c r="AI29">
        <f t="shared" si="6"/>
        <v>8</v>
      </c>
      <c r="AJ29">
        <f t="shared" si="7"/>
        <v>3</v>
      </c>
      <c r="AK29">
        <f t="shared" si="8"/>
        <v>0</v>
      </c>
      <c r="AL29" t="s">
        <v>83</v>
      </c>
      <c r="AM29">
        <f t="shared" si="9"/>
        <v>8.15</v>
      </c>
      <c r="AN29">
        <f t="shared" si="10"/>
        <v>12</v>
      </c>
      <c r="AO29">
        <f t="shared" si="11"/>
        <v>10.5</v>
      </c>
      <c r="AP29">
        <f t="shared" si="12"/>
        <v>8.8000000000000007</v>
      </c>
      <c r="AQ29" s="6">
        <v>9</v>
      </c>
      <c r="AR29">
        <v>9</v>
      </c>
      <c r="AV29">
        <v>3</v>
      </c>
      <c r="AW29">
        <f t="shared" si="13"/>
        <v>4</v>
      </c>
      <c r="AX29">
        <f t="shared" si="14"/>
        <v>1</v>
      </c>
    </row>
    <row r="30" spans="1:50" x14ac:dyDescent="0.25">
      <c r="A30" t="s">
        <v>29</v>
      </c>
      <c r="B30">
        <v>6</v>
      </c>
      <c r="C30">
        <v>5</v>
      </c>
      <c r="D30">
        <v>7</v>
      </c>
      <c r="E30">
        <v>5</v>
      </c>
      <c r="F30">
        <v>2</v>
      </c>
      <c r="G30">
        <v>0</v>
      </c>
      <c r="H30">
        <v>0</v>
      </c>
      <c r="I30">
        <v>5</v>
      </c>
      <c r="J30">
        <v>5</v>
      </c>
      <c r="K30">
        <v>3</v>
      </c>
      <c r="L30">
        <v>3</v>
      </c>
      <c r="M30">
        <v>3</v>
      </c>
      <c r="N30">
        <v>0</v>
      </c>
      <c r="O30">
        <v>0</v>
      </c>
      <c r="P30">
        <v>3</v>
      </c>
      <c r="Q30">
        <v>6</v>
      </c>
      <c r="R30">
        <v>6</v>
      </c>
      <c r="S30">
        <v>4</v>
      </c>
      <c r="T30">
        <v>3</v>
      </c>
      <c r="U30">
        <v>0</v>
      </c>
      <c r="V30">
        <v>0</v>
      </c>
      <c r="W30">
        <v>4</v>
      </c>
      <c r="X30">
        <v>2</v>
      </c>
      <c r="Y30">
        <v>3</v>
      </c>
      <c r="Z30">
        <v>5</v>
      </c>
      <c r="AA30">
        <v>5</v>
      </c>
      <c r="AB30">
        <v>0</v>
      </c>
      <c r="AC30">
        <v>0</v>
      </c>
      <c r="AD30">
        <f t="shared" si="1"/>
        <v>85</v>
      </c>
      <c r="AE30">
        <f t="shared" si="2"/>
        <v>4.5</v>
      </c>
      <c r="AF30">
        <f t="shared" si="3"/>
        <v>4.5</v>
      </c>
      <c r="AG30">
        <f t="shared" si="4"/>
        <v>4.75</v>
      </c>
      <c r="AH30">
        <f t="shared" si="5"/>
        <v>4.25</v>
      </c>
      <c r="AI30">
        <f t="shared" si="6"/>
        <v>3.25</v>
      </c>
      <c r="AJ30">
        <f t="shared" si="7"/>
        <v>0</v>
      </c>
      <c r="AK30">
        <f t="shared" si="8"/>
        <v>0</v>
      </c>
      <c r="AL30" t="s">
        <v>83</v>
      </c>
      <c r="AM30">
        <f t="shared" si="9"/>
        <v>4.25</v>
      </c>
      <c r="AN30">
        <f t="shared" si="10"/>
        <v>7</v>
      </c>
      <c r="AO30">
        <f t="shared" si="11"/>
        <v>5.75</v>
      </c>
      <c r="AP30">
        <f t="shared" si="12"/>
        <v>5</v>
      </c>
      <c r="AQ30" s="6">
        <v>5</v>
      </c>
      <c r="AR30">
        <v>5</v>
      </c>
      <c r="AV30">
        <v>0</v>
      </c>
      <c r="AW30">
        <f t="shared" si="13"/>
        <v>0</v>
      </c>
      <c r="AX30">
        <f t="shared" si="14"/>
        <v>0</v>
      </c>
    </row>
    <row r="31" spans="1:50" x14ac:dyDescent="0.25">
      <c r="A31" t="s">
        <v>30</v>
      </c>
      <c r="B31">
        <v>3</v>
      </c>
      <c r="C31">
        <v>4</v>
      </c>
      <c r="D31">
        <v>2</v>
      </c>
      <c r="E31">
        <v>4</v>
      </c>
      <c r="F31">
        <v>3</v>
      </c>
      <c r="G31">
        <v>0</v>
      </c>
      <c r="H31">
        <v>0</v>
      </c>
      <c r="I31">
        <v>7</v>
      </c>
      <c r="J31">
        <v>5</v>
      </c>
      <c r="K31">
        <v>3</v>
      </c>
      <c r="L31">
        <v>9</v>
      </c>
      <c r="M31">
        <v>4</v>
      </c>
      <c r="N31">
        <v>0</v>
      </c>
      <c r="O31">
        <v>0</v>
      </c>
      <c r="P31">
        <v>4</v>
      </c>
      <c r="Q31">
        <v>3</v>
      </c>
      <c r="R31">
        <v>3</v>
      </c>
      <c r="S31">
        <v>2</v>
      </c>
      <c r="T31">
        <v>3</v>
      </c>
      <c r="U31">
        <v>0</v>
      </c>
      <c r="V31">
        <v>0</v>
      </c>
      <c r="W31">
        <v>2</v>
      </c>
      <c r="X31">
        <v>3</v>
      </c>
      <c r="Y31">
        <v>4</v>
      </c>
      <c r="Z31">
        <v>4</v>
      </c>
      <c r="AA31">
        <v>5</v>
      </c>
      <c r="AB31">
        <v>0</v>
      </c>
      <c r="AC31">
        <v>0</v>
      </c>
      <c r="AD31">
        <f t="shared" si="1"/>
        <v>77</v>
      </c>
      <c r="AE31">
        <f t="shared" si="2"/>
        <v>4</v>
      </c>
      <c r="AF31">
        <f t="shared" si="3"/>
        <v>3.75</v>
      </c>
      <c r="AG31">
        <f t="shared" si="4"/>
        <v>3</v>
      </c>
      <c r="AH31">
        <f t="shared" si="5"/>
        <v>4.75</v>
      </c>
      <c r="AI31">
        <f t="shared" si="6"/>
        <v>3.75</v>
      </c>
      <c r="AJ31">
        <f t="shared" si="7"/>
        <v>0</v>
      </c>
      <c r="AK31">
        <f t="shared" si="8"/>
        <v>0</v>
      </c>
      <c r="AL31" t="s">
        <v>83</v>
      </c>
      <c r="AM31">
        <f t="shared" si="9"/>
        <v>3.85</v>
      </c>
      <c r="AN31">
        <f t="shared" si="10"/>
        <v>9</v>
      </c>
      <c r="AO31">
        <f t="shared" si="11"/>
        <v>5.5</v>
      </c>
      <c r="AP31">
        <f t="shared" si="12"/>
        <v>5.6</v>
      </c>
      <c r="AQ31" s="6">
        <v>6</v>
      </c>
      <c r="AR31">
        <v>4</v>
      </c>
      <c r="AV31">
        <v>0</v>
      </c>
      <c r="AW31">
        <f t="shared" si="13"/>
        <v>0</v>
      </c>
      <c r="AX31">
        <f t="shared" si="14"/>
        <v>0</v>
      </c>
    </row>
    <row r="32" spans="1:50" x14ac:dyDescent="0.25">
      <c r="A32" t="s">
        <v>31</v>
      </c>
      <c r="B32">
        <v>9</v>
      </c>
      <c r="C32">
        <v>5</v>
      </c>
      <c r="D32">
        <v>12</v>
      </c>
      <c r="E32">
        <v>6</v>
      </c>
      <c r="F32">
        <v>9</v>
      </c>
      <c r="G32">
        <v>2</v>
      </c>
      <c r="H32">
        <v>0</v>
      </c>
      <c r="I32">
        <v>5</v>
      </c>
      <c r="J32">
        <v>9</v>
      </c>
      <c r="K32">
        <v>10</v>
      </c>
      <c r="L32">
        <v>6</v>
      </c>
      <c r="M32">
        <v>6</v>
      </c>
      <c r="N32">
        <v>3</v>
      </c>
      <c r="O32">
        <v>0</v>
      </c>
      <c r="P32">
        <v>11</v>
      </c>
      <c r="Q32">
        <v>4</v>
      </c>
      <c r="R32">
        <v>10</v>
      </c>
      <c r="S32">
        <v>5</v>
      </c>
      <c r="T32">
        <v>11</v>
      </c>
      <c r="U32">
        <v>3</v>
      </c>
      <c r="V32">
        <v>0</v>
      </c>
      <c r="W32">
        <v>7</v>
      </c>
      <c r="X32">
        <v>12</v>
      </c>
      <c r="Y32">
        <v>11</v>
      </c>
      <c r="Z32">
        <v>10</v>
      </c>
      <c r="AA32">
        <v>7</v>
      </c>
      <c r="AB32">
        <v>6</v>
      </c>
      <c r="AC32">
        <v>0</v>
      </c>
      <c r="AD32">
        <f t="shared" si="1"/>
        <v>179</v>
      </c>
      <c r="AE32">
        <f t="shared" si="2"/>
        <v>8</v>
      </c>
      <c r="AF32">
        <f t="shared" si="3"/>
        <v>7.5</v>
      </c>
      <c r="AG32">
        <f t="shared" si="4"/>
        <v>10.75</v>
      </c>
      <c r="AH32">
        <f t="shared" si="5"/>
        <v>6.75</v>
      </c>
      <c r="AI32">
        <f t="shared" si="6"/>
        <v>8.25</v>
      </c>
      <c r="AJ32">
        <f t="shared" si="7"/>
        <v>3.5</v>
      </c>
      <c r="AK32">
        <f t="shared" si="8"/>
        <v>0</v>
      </c>
      <c r="AL32" t="s">
        <v>83</v>
      </c>
      <c r="AM32">
        <f t="shared" si="9"/>
        <v>8.25</v>
      </c>
      <c r="AN32">
        <f t="shared" si="10"/>
        <v>12</v>
      </c>
      <c r="AO32">
        <f t="shared" si="11"/>
        <v>11.25</v>
      </c>
      <c r="AP32">
        <f t="shared" si="12"/>
        <v>9.4</v>
      </c>
      <c r="AQ32" s="6">
        <v>10</v>
      </c>
      <c r="AR32">
        <v>9</v>
      </c>
      <c r="AV32">
        <v>4</v>
      </c>
      <c r="AW32">
        <f t="shared" si="13"/>
        <v>6</v>
      </c>
      <c r="AX32">
        <f t="shared" si="14"/>
        <v>2</v>
      </c>
    </row>
    <row r="33" spans="1:50" x14ac:dyDescent="0.25">
      <c r="A33" t="s">
        <v>32</v>
      </c>
      <c r="B33">
        <v>9</v>
      </c>
      <c r="C33">
        <v>6</v>
      </c>
      <c r="D33">
        <v>10</v>
      </c>
      <c r="E33">
        <v>5</v>
      </c>
      <c r="F33">
        <v>6</v>
      </c>
      <c r="G33">
        <v>5</v>
      </c>
      <c r="H33">
        <v>0</v>
      </c>
      <c r="I33">
        <v>10</v>
      </c>
      <c r="J33">
        <v>11</v>
      </c>
      <c r="K33">
        <v>10</v>
      </c>
      <c r="L33">
        <v>4</v>
      </c>
      <c r="M33">
        <v>11</v>
      </c>
      <c r="N33">
        <v>3</v>
      </c>
      <c r="O33">
        <v>0</v>
      </c>
      <c r="P33">
        <v>3</v>
      </c>
      <c r="Q33">
        <v>6</v>
      </c>
      <c r="R33">
        <v>10</v>
      </c>
      <c r="S33">
        <v>8</v>
      </c>
      <c r="T33">
        <v>13</v>
      </c>
      <c r="U33">
        <v>6</v>
      </c>
      <c r="V33">
        <v>0</v>
      </c>
      <c r="W33">
        <v>5</v>
      </c>
      <c r="X33">
        <v>5</v>
      </c>
      <c r="Y33">
        <v>5</v>
      </c>
      <c r="Z33">
        <v>8</v>
      </c>
      <c r="AA33">
        <v>8</v>
      </c>
      <c r="AB33">
        <v>5</v>
      </c>
      <c r="AC33">
        <v>0</v>
      </c>
      <c r="AD33">
        <f t="shared" si="1"/>
        <v>172</v>
      </c>
      <c r="AE33">
        <f t="shared" si="2"/>
        <v>6.75</v>
      </c>
      <c r="AF33">
        <f t="shared" si="3"/>
        <v>7</v>
      </c>
      <c r="AG33">
        <f t="shared" si="4"/>
        <v>8.75</v>
      </c>
      <c r="AH33">
        <f t="shared" si="5"/>
        <v>6.25</v>
      </c>
      <c r="AI33">
        <f t="shared" si="6"/>
        <v>9.5</v>
      </c>
      <c r="AJ33">
        <f t="shared" si="7"/>
        <v>4.75</v>
      </c>
      <c r="AK33">
        <f t="shared" si="8"/>
        <v>0</v>
      </c>
      <c r="AL33" t="s">
        <v>83</v>
      </c>
      <c r="AM33">
        <f t="shared" si="9"/>
        <v>7.65</v>
      </c>
      <c r="AN33">
        <f t="shared" si="10"/>
        <v>13</v>
      </c>
      <c r="AO33">
        <f t="shared" si="11"/>
        <v>10.5</v>
      </c>
      <c r="AP33">
        <f t="shared" si="12"/>
        <v>9.1999999999999993</v>
      </c>
      <c r="AQ33" s="6">
        <v>10</v>
      </c>
      <c r="AR33">
        <v>8</v>
      </c>
      <c r="AV33">
        <v>5</v>
      </c>
      <c r="AW33">
        <f t="shared" si="13"/>
        <v>6</v>
      </c>
      <c r="AX33">
        <f t="shared" si="14"/>
        <v>1</v>
      </c>
    </row>
    <row r="34" spans="1:50" x14ac:dyDescent="0.25">
      <c r="A34" t="s">
        <v>33</v>
      </c>
      <c r="B34">
        <v>6</v>
      </c>
      <c r="C34">
        <v>9</v>
      </c>
      <c r="D34">
        <v>6</v>
      </c>
      <c r="E34">
        <v>7</v>
      </c>
      <c r="F34">
        <v>10</v>
      </c>
      <c r="G34">
        <v>4</v>
      </c>
      <c r="H34">
        <v>0</v>
      </c>
      <c r="I34">
        <v>11</v>
      </c>
      <c r="J34">
        <v>8</v>
      </c>
      <c r="K34">
        <v>5</v>
      </c>
      <c r="L34">
        <v>8</v>
      </c>
      <c r="M34">
        <v>6</v>
      </c>
      <c r="N34">
        <v>5</v>
      </c>
      <c r="O34">
        <v>0</v>
      </c>
      <c r="P34">
        <v>8</v>
      </c>
      <c r="Q34">
        <v>7</v>
      </c>
      <c r="R34">
        <v>5</v>
      </c>
      <c r="S34">
        <v>7</v>
      </c>
      <c r="T34">
        <v>8</v>
      </c>
      <c r="U34">
        <v>2</v>
      </c>
      <c r="V34">
        <v>0</v>
      </c>
      <c r="W34">
        <v>10</v>
      </c>
      <c r="X34">
        <v>9</v>
      </c>
      <c r="Y34">
        <v>11</v>
      </c>
      <c r="Z34">
        <v>9</v>
      </c>
      <c r="AA34">
        <v>10</v>
      </c>
      <c r="AB34">
        <v>6</v>
      </c>
      <c r="AC34">
        <v>0</v>
      </c>
      <c r="AD34">
        <f t="shared" si="1"/>
        <v>177</v>
      </c>
      <c r="AE34">
        <f t="shared" si="2"/>
        <v>8.75</v>
      </c>
      <c r="AF34">
        <f t="shared" si="3"/>
        <v>8.25</v>
      </c>
      <c r="AG34">
        <f t="shared" si="4"/>
        <v>6.75</v>
      </c>
      <c r="AH34">
        <f t="shared" si="5"/>
        <v>7.75</v>
      </c>
      <c r="AI34">
        <f t="shared" si="6"/>
        <v>8.5</v>
      </c>
      <c r="AJ34">
        <f t="shared" si="7"/>
        <v>4.25</v>
      </c>
      <c r="AK34">
        <f t="shared" si="8"/>
        <v>0</v>
      </c>
      <c r="AL34" t="s">
        <v>83</v>
      </c>
      <c r="AM34">
        <f t="shared" si="9"/>
        <v>8</v>
      </c>
      <c r="AN34">
        <f t="shared" si="10"/>
        <v>11</v>
      </c>
      <c r="AO34">
        <f t="shared" si="11"/>
        <v>10</v>
      </c>
      <c r="AP34">
        <f t="shared" si="12"/>
        <v>9.8000000000000007</v>
      </c>
      <c r="AQ34" s="6">
        <v>10</v>
      </c>
      <c r="AR34">
        <v>8</v>
      </c>
      <c r="AV34">
        <v>5</v>
      </c>
      <c r="AW34">
        <f t="shared" si="13"/>
        <v>6</v>
      </c>
      <c r="AX34">
        <f t="shared" si="14"/>
        <v>1</v>
      </c>
    </row>
    <row r="35" spans="1:50" x14ac:dyDescent="0.25">
      <c r="A35" t="s">
        <v>34</v>
      </c>
      <c r="B35">
        <v>9</v>
      </c>
      <c r="C35">
        <v>6</v>
      </c>
      <c r="D35">
        <v>8</v>
      </c>
      <c r="E35">
        <v>3</v>
      </c>
      <c r="F35">
        <v>8</v>
      </c>
      <c r="G35">
        <v>6</v>
      </c>
      <c r="H35">
        <v>0</v>
      </c>
      <c r="I35">
        <v>13</v>
      </c>
      <c r="J35">
        <v>12</v>
      </c>
      <c r="K35">
        <v>7</v>
      </c>
      <c r="L35">
        <v>12</v>
      </c>
      <c r="M35">
        <v>6</v>
      </c>
      <c r="N35">
        <v>3</v>
      </c>
      <c r="O35">
        <v>0</v>
      </c>
      <c r="P35">
        <v>8</v>
      </c>
      <c r="Q35">
        <v>7</v>
      </c>
      <c r="R35">
        <v>7</v>
      </c>
      <c r="S35">
        <v>8</v>
      </c>
      <c r="T35">
        <v>9</v>
      </c>
      <c r="U35">
        <v>4</v>
      </c>
      <c r="V35">
        <v>0</v>
      </c>
      <c r="W35">
        <v>12</v>
      </c>
      <c r="X35">
        <v>9</v>
      </c>
      <c r="Y35">
        <v>12</v>
      </c>
      <c r="Z35">
        <v>6</v>
      </c>
      <c r="AA35">
        <v>9</v>
      </c>
      <c r="AB35">
        <v>2</v>
      </c>
      <c r="AC35">
        <v>0</v>
      </c>
      <c r="AD35">
        <f t="shared" si="1"/>
        <v>186</v>
      </c>
      <c r="AE35">
        <f t="shared" si="2"/>
        <v>10.5</v>
      </c>
      <c r="AF35">
        <f t="shared" si="3"/>
        <v>8.5</v>
      </c>
      <c r="AG35">
        <f t="shared" si="4"/>
        <v>8.5</v>
      </c>
      <c r="AH35">
        <f t="shared" si="5"/>
        <v>7.25</v>
      </c>
      <c r="AI35">
        <f t="shared" si="6"/>
        <v>8</v>
      </c>
      <c r="AJ35">
        <f t="shared" si="7"/>
        <v>3.75</v>
      </c>
      <c r="AK35">
        <f t="shared" si="8"/>
        <v>0</v>
      </c>
      <c r="AL35" t="s">
        <v>83</v>
      </c>
      <c r="AM35">
        <f t="shared" si="9"/>
        <v>8.5500000000000007</v>
      </c>
      <c r="AN35">
        <f t="shared" si="10"/>
        <v>13</v>
      </c>
      <c r="AO35">
        <f t="shared" si="11"/>
        <v>10.75</v>
      </c>
      <c r="AP35">
        <f t="shared" si="12"/>
        <v>10</v>
      </c>
      <c r="AQ35" s="6">
        <v>10</v>
      </c>
      <c r="AR35">
        <v>9</v>
      </c>
      <c r="AV35">
        <v>4</v>
      </c>
      <c r="AW35">
        <f t="shared" si="13"/>
        <v>6</v>
      </c>
      <c r="AX35">
        <f t="shared" si="14"/>
        <v>2</v>
      </c>
    </row>
    <row r="36" spans="1:50" x14ac:dyDescent="0.25">
      <c r="A36" t="s">
        <v>35</v>
      </c>
      <c r="B36">
        <v>7</v>
      </c>
      <c r="C36">
        <v>6</v>
      </c>
      <c r="D36">
        <v>11</v>
      </c>
      <c r="E36">
        <v>6</v>
      </c>
      <c r="F36">
        <v>9</v>
      </c>
      <c r="G36">
        <v>2</v>
      </c>
      <c r="H36">
        <v>0</v>
      </c>
      <c r="I36">
        <v>5</v>
      </c>
      <c r="J36">
        <v>11</v>
      </c>
      <c r="K36">
        <v>11</v>
      </c>
      <c r="L36">
        <v>3</v>
      </c>
      <c r="M36">
        <v>12</v>
      </c>
      <c r="N36">
        <v>4</v>
      </c>
      <c r="O36">
        <v>0</v>
      </c>
      <c r="P36">
        <v>4</v>
      </c>
      <c r="Q36">
        <v>5</v>
      </c>
      <c r="R36">
        <v>6</v>
      </c>
      <c r="S36">
        <v>11</v>
      </c>
      <c r="T36">
        <v>8</v>
      </c>
      <c r="U36">
        <v>4</v>
      </c>
      <c r="V36">
        <v>0</v>
      </c>
      <c r="W36">
        <v>6</v>
      </c>
      <c r="X36">
        <v>6</v>
      </c>
      <c r="Y36">
        <v>8</v>
      </c>
      <c r="Z36">
        <v>11</v>
      </c>
      <c r="AA36">
        <v>4</v>
      </c>
      <c r="AB36">
        <v>3</v>
      </c>
      <c r="AC36">
        <v>0</v>
      </c>
      <c r="AD36">
        <f t="shared" si="1"/>
        <v>163</v>
      </c>
      <c r="AE36">
        <f t="shared" si="2"/>
        <v>5.5</v>
      </c>
      <c r="AF36">
        <f t="shared" si="3"/>
        <v>7</v>
      </c>
      <c r="AG36">
        <f t="shared" si="4"/>
        <v>9</v>
      </c>
      <c r="AH36">
        <f t="shared" si="5"/>
        <v>7.75</v>
      </c>
      <c r="AI36">
        <f t="shared" si="6"/>
        <v>8.25</v>
      </c>
      <c r="AJ36">
        <f t="shared" si="7"/>
        <v>3.25</v>
      </c>
      <c r="AK36">
        <f t="shared" si="8"/>
        <v>0</v>
      </c>
      <c r="AL36" t="s">
        <v>83</v>
      </c>
      <c r="AM36">
        <f t="shared" si="9"/>
        <v>7.5</v>
      </c>
      <c r="AN36">
        <f t="shared" si="10"/>
        <v>12</v>
      </c>
      <c r="AO36">
        <f t="shared" si="11"/>
        <v>11.25</v>
      </c>
      <c r="AP36">
        <f t="shared" si="12"/>
        <v>8.4</v>
      </c>
      <c r="AQ36" s="6">
        <v>9</v>
      </c>
      <c r="AR36">
        <v>8</v>
      </c>
      <c r="AV36">
        <v>4</v>
      </c>
      <c r="AW36">
        <f t="shared" si="13"/>
        <v>4</v>
      </c>
      <c r="AX36">
        <f t="shared" si="14"/>
        <v>0</v>
      </c>
    </row>
    <row r="37" spans="1:50" x14ac:dyDescent="0.25">
      <c r="A37" t="s">
        <v>36</v>
      </c>
      <c r="B37">
        <v>7</v>
      </c>
      <c r="C37">
        <v>6</v>
      </c>
      <c r="D37">
        <v>6</v>
      </c>
      <c r="E37">
        <v>6</v>
      </c>
      <c r="F37">
        <v>10</v>
      </c>
      <c r="G37">
        <v>3</v>
      </c>
      <c r="H37">
        <v>0</v>
      </c>
      <c r="I37">
        <v>9</v>
      </c>
      <c r="J37">
        <v>6</v>
      </c>
      <c r="K37">
        <v>6</v>
      </c>
      <c r="L37">
        <v>11</v>
      </c>
      <c r="M37">
        <v>9</v>
      </c>
      <c r="N37">
        <v>6</v>
      </c>
      <c r="O37">
        <v>0</v>
      </c>
      <c r="P37">
        <v>6</v>
      </c>
      <c r="Q37">
        <v>5</v>
      </c>
      <c r="R37">
        <v>6</v>
      </c>
      <c r="S37">
        <v>6</v>
      </c>
      <c r="T37">
        <v>9</v>
      </c>
      <c r="U37">
        <v>3</v>
      </c>
      <c r="V37">
        <v>0</v>
      </c>
      <c r="W37">
        <v>7</v>
      </c>
      <c r="X37">
        <v>9</v>
      </c>
      <c r="Y37">
        <v>7</v>
      </c>
      <c r="Z37">
        <v>8</v>
      </c>
      <c r="AA37">
        <v>10</v>
      </c>
      <c r="AB37">
        <v>6</v>
      </c>
      <c r="AC37">
        <v>0</v>
      </c>
      <c r="AD37">
        <f t="shared" si="1"/>
        <v>167</v>
      </c>
      <c r="AE37">
        <f t="shared" si="2"/>
        <v>7.25</v>
      </c>
      <c r="AF37">
        <f t="shared" si="3"/>
        <v>6.5</v>
      </c>
      <c r="AG37">
        <f t="shared" si="4"/>
        <v>6.25</v>
      </c>
      <c r="AH37">
        <f t="shared" si="5"/>
        <v>7.75</v>
      </c>
      <c r="AI37">
        <f t="shared" si="6"/>
        <v>9.5</v>
      </c>
      <c r="AJ37">
        <f t="shared" si="7"/>
        <v>4.5</v>
      </c>
      <c r="AK37">
        <f t="shared" si="8"/>
        <v>0</v>
      </c>
      <c r="AL37" t="s">
        <v>83</v>
      </c>
      <c r="AM37">
        <f t="shared" si="9"/>
        <v>7.45</v>
      </c>
      <c r="AN37">
        <f t="shared" si="10"/>
        <v>11</v>
      </c>
      <c r="AO37">
        <f t="shared" si="11"/>
        <v>10</v>
      </c>
      <c r="AP37">
        <f t="shared" si="12"/>
        <v>8.1999999999999993</v>
      </c>
      <c r="AQ37" s="6">
        <v>9</v>
      </c>
      <c r="AR37">
        <v>8</v>
      </c>
      <c r="AV37">
        <v>5</v>
      </c>
      <c r="AW37">
        <f t="shared" si="13"/>
        <v>6</v>
      </c>
      <c r="AX37">
        <f t="shared" si="14"/>
        <v>1</v>
      </c>
    </row>
    <row r="38" spans="1:50" x14ac:dyDescent="0.25">
      <c r="A38" t="s">
        <v>37</v>
      </c>
      <c r="B38">
        <v>11</v>
      </c>
      <c r="C38">
        <v>10</v>
      </c>
      <c r="D38">
        <v>9</v>
      </c>
      <c r="E38">
        <v>5</v>
      </c>
      <c r="F38">
        <v>9</v>
      </c>
      <c r="G38">
        <v>2</v>
      </c>
      <c r="H38">
        <v>0</v>
      </c>
      <c r="I38">
        <v>8</v>
      </c>
      <c r="J38">
        <v>9</v>
      </c>
      <c r="K38">
        <v>7</v>
      </c>
      <c r="L38">
        <v>6</v>
      </c>
      <c r="M38">
        <v>8</v>
      </c>
      <c r="N38">
        <v>6</v>
      </c>
      <c r="O38">
        <v>0</v>
      </c>
      <c r="P38">
        <v>5</v>
      </c>
      <c r="Q38">
        <v>5</v>
      </c>
      <c r="R38">
        <v>10</v>
      </c>
      <c r="S38">
        <v>11</v>
      </c>
      <c r="T38">
        <v>9</v>
      </c>
      <c r="U38">
        <v>2</v>
      </c>
      <c r="V38">
        <v>0</v>
      </c>
      <c r="W38">
        <v>6</v>
      </c>
      <c r="X38">
        <v>8</v>
      </c>
      <c r="Y38">
        <v>5</v>
      </c>
      <c r="Z38">
        <v>11</v>
      </c>
      <c r="AA38">
        <v>6</v>
      </c>
      <c r="AB38">
        <v>3</v>
      </c>
      <c r="AC38">
        <v>0</v>
      </c>
      <c r="AD38">
        <f t="shared" si="1"/>
        <v>171</v>
      </c>
      <c r="AE38">
        <f t="shared" si="2"/>
        <v>7.5</v>
      </c>
      <c r="AF38">
        <f t="shared" si="3"/>
        <v>8</v>
      </c>
      <c r="AG38">
        <f t="shared" si="4"/>
        <v>7.75</v>
      </c>
      <c r="AH38">
        <f t="shared" si="5"/>
        <v>8.25</v>
      </c>
      <c r="AI38">
        <f t="shared" si="6"/>
        <v>8</v>
      </c>
      <c r="AJ38">
        <f t="shared" si="7"/>
        <v>3.25</v>
      </c>
      <c r="AK38">
        <f t="shared" si="8"/>
        <v>0</v>
      </c>
      <c r="AL38" t="s">
        <v>83</v>
      </c>
      <c r="AM38">
        <f t="shared" si="9"/>
        <v>7.9</v>
      </c>
      <c r="AN38">
        <f t="shared" si="10"/>
        <v>11</v>
      </c>
      <c r="AO38">
        <f t="shared" si="11"/>
        <v>10.5</v>
      </c>
      <c r="AP38">
        <f t="shared" si="12"/>
        <v>8.8000000000000007</v>
      </c>
      <c r="AQ38" s="6">
        <v>9</v>
      </c>
      <c r="AR38">
        <v>8</v>
      </c>
      <c r="AV38">
        <v>4</v>
      </c>
      <c r="AW38">
        <f t="shared" si="13"/>
        <v>6</v>
      </c>
      <c r="AX38">
        <f t="shared" si="14"/>
        <v>2</v>
      </c>
    </row>
    <row r="39" spans="1:50" x14ac:dyDescent="0.25">
      <c r="A39" t="s">
        <v>38</v>
      </c>
      <c r="B39">
        <v>7</v>
      </c>
      <c r="C39">
        <v>7</v>
      </c>
      <c r="D39">
        <v>7</v>
      </c>
      <c r="E39">
        <v>11</v>
      </c>
      <c r="F39">
        <v>6</v>
      </c>
      <c r="G39">
        <v>6</v>
      </c>
      <c r="H39">
        <v>0</v>
      </c>
      <c r="I39">
        <v>4</v>
      </c>
      <c r="J39">
        <v>7</v>
      </c>
      <c r="K39">
        <v>8</v>
      </c>
      <c r="L39">
        <v>10</v>
      </c>
      <c r="M39">
        <v>9</v>
      </c>
      <c r="N39">
        <v>3</v>
      </c>
      <c r="O39">
        <v>0</v>
      </c>
      <c r="P39">
        <v>4</v>
      </c>
      <c r="Q39">
        <v>6</v>
      </c>
      <c r="R39">
        <v>7</v>
      </c>
      <c r="S39">
        <v>8</v>
      </c>
      <c r="T39">
        <v>11</v>
      </c>
      <c r="U39">
        <v>2</v>
      </c>
      <c r="V39">
        <v>0</v>
      </c>
      <c r="W39">
        <v>12</v>
      </c>
      <c r="X39">
        <v>8</v>
      </c>
      <c r="Y39">
        <v>6</v>
      </c>
      <c r="Z39">
        <v>9</v>
      </c>
      <c r="AA39">
        <v>7</v>
      </c>
      <c r="AB39">
        <v>4</v>
      </c>
      <c r="AC39">
        <v>0</v>
      </c>
      <c r="AD39">
        <f t="shared" si="1"/>
        <v>169</v>
      </c>
      <c r="AE39">
        <f t="shared" si="2"/>
        <v>6.75</v>
      </c>
      <c r="AF39">
        <f t="shared" si="3"/>
        <v>7</v>
      </c>
      <c r="AG39">
        <f t="shared" si="4"/>
        <v>7</v>
      </c>
      <c r="AH39">
        <f t="shared" si="5"/>
        <v>9.5</v>
      </c>
      <c r="AI39">
        <f t="shared" si="6"/>
        <v>8.25</v>
      </c>
      <c r="AJ39">
        <f t="shared" si="7"/>
        <v>3.75</v>
      </c>
      <c r="AK39">
        <f t="shared" si="8"/>
        <v>0</v>
      </c>
      <c r="AL39" t="s">
        <v>83</v>
      </c>
      <c r="AM39">
        <f t="shared" si="9"/>
        <v>7.7</v>
      </c>
      <c r="AN39">
        <f t="shared" si="10"/>
        <v>12</v>
      </c>
      <c r="AO39">
        <f t="shared" si="11"/>
        <v>11</v>
      </c>
      <c r="AP39">
        <f t="shared" si="12"/>
        <v>8.4</v>
      </c>
      <c r="AQ39" s="6">
        <v>9</v>
      </c>
      <c r="AR39">
        <v>8</v>
      </c>
      <c r="AV39">
        <v>4</v>
      </c>
      <c r="AW39">
        <f t="shared" si="13"/>
        <v>6</v>
      </c>
      <c r="AX39">
        <f t="shared" si="14"/>
        <v>2</v>
      </c>
    </row>
    <row r="40" spans="1:50" x14ac:dyDescent="0.25">
      <c r="A40" t="s">
        <v>39</v>
      </c>
      <c r="B40">
        <v>11</v>
      </c>
      <c r="C40">
        <v>8</v>
      </c>
      <c r="D40">
        <v>5</v>
      </c>
      <c r="E40">
        <v>6</v>
      </c>
      <c r="F40">
        <v>7</v>
      </c>
      <c r="G40">
        <v>2</v>
      </c>
      <c r="H40">
        <v>0</v>
      </c>
      <c r="I40">
        <v>8</v>
      </c>
      <c r="J40">
        <v>5</v>
      </c>
      <c r="K40">
        <v>8</v>
      </c>
      <c r="L40">
        <v>7</v>
      </c>
      <c r="M40">
        <v>10</v>
      </c>
      <c r="N40">
        <v>4</v>
      </c>
      <c r="O40">
        <v>0</v>
      </c>
      <c r="P40">
        <v>6</v>
      </c>
      <c r="Q40">
        <v>10</v>
      </c>
      <c r="R40">
        <v>8</v>
      </c>
      <c r="S40">
        <v>10</v>
      </c>
      <c r="T40">
        <v>4</v>
      </c>
      <c r="U40">
        <v>3</v>
      </c>
      <c r="V40">
        <v>0</v>
      </c>
      <c r="W40">
        <v>10</v>
      </c>
      <c r="X40">
        <v>8</v>
      </c>
      <c r="Y40">
        <v>8</v>
      </c>
      <c r="Z40">
        <v>4</v>
      </c>
      <c r="AA40">
        <v>8</v>
      </c>
      <c r="AB40">
        <v>4</v>
      </c>
      <c r="AC40">
        <v>0</v>
      </c>
      <c r="AD40">
        <f t="shared" si="1"/>
        <v>164</v>
      </c>
      <c r="AE40">
        <f t="shared" si="2"/>
        <v>8.75</v>
      </c>
      <c r="AF40">
        <f t="shared" si="3"/>
        <v>7.75</v>
      </c>
      <c r="AG40">
        <f t="shared" si="4"/>
        <v>7.25</v>
      </c>
      <c r="AH40">
        <f t="shared" si="5"/>
        <v>6.75</v>
      </c>
      <c r="AI40">
        <f t="shared" si="6"/>
        <v>7.25</v>
      </c>
      <c r="AJ40">
        <f t="shared" si="7"/>
        <v>3.25</v>
      </c>
      <c r="AK40">
        <f t="shared" si="8"/>
        <v>0</v>
      </c>
      <c r="AL40" t="s">
        <v>83</v>
      </c>
      <c r="AM40">
        <f t="shared" si="9"/>
        <v>7.55</v>
      </c>
      <c r="AN40">
        <f t="shared" si="10"/>
        <v>11</v>
      </c>
      <c r="AO40">
        <f t="shared" si="11"/>
        <v>10.25</v>
      </c>
      <c r="AP40">
        <f t="shared" si="12"/>
        <v>7.6</v>
      </c>
      <c r="AQ40" s="6">
        <v>8</v>
      </c>
      <c r="AR40">
        <v>8</v>
      </c>
      <c r="AV40">
        <v>4</v>
      </c>
      <c r="AW40">
        <f t="shared" si="13"/>
        <v>4</v>
      </c>
      <c r="AX40">
        <f t="shared" si="14"/>
        <v>0</v>
      </c>
    </row>
    <row r="41" spans="1:50" x14ac:dyDescent="0.25">
      <c r="A41" t="s">
        <v>40</v>
      </c>
      <c r="B41">
        <v>7</v>
      </c>
      <c r="C41">
        <v>5</v>
      </c>
      <c r="D41">
        <v>4</v>
      </c>
      <c r="E41">
        <v>7</v>
      </c>
      <c r="F41">
        <v>5</v>
      </c>
      <c r="G41">
        <v>3</v>
      </c>
      <c r="H41">
        <v>0</v>
      </c>
      <c r="I41">
        <v>8</v>
      </c>
      <c r="J41">
        <v>6</v>
      </c>
      <c r="K41">
        <v>6</v>
      </c>
      <c r="L41">
        <v>5</v>
      </c>
      <c r="M41">
        <v>5</v>
      </c>
      <c r="N41">
        <v>3</v>
      </c>
      <c r="O41">
        <v>0</v>
      </c>
      <c r="P41">
        <v>5</v>
      </c>
      <c r="Q41">
        <v>8</v>
      </c>
      <c r="R41">
        <v>7</v>
      </c>
      <c r="S41">
        <v>7</v>
      </c>
      <c r="T41">
        <v>7</v>
      </c>
      <c r="U41">
        <v>6</v>
      </c>
      <c r="V41">
        <v>0</v>
      </c>
      <c r="W41">
        <v>11</v>
      </c>
      <c r="X41">
        <v>8</v>
      </c>
      <c r="Y41">
        <v>13</v>
      </c>
      <c r="Z41">
        <v>10</v>
      </c>
      <c r="AA41">
        <v>10</v>
      </c>
      <c r="AB41">
        <v>6</v>
      </c>
      <c r="AC41">
        <v>0</v>
      </c>
      <c r="AD41">
        <f t="shared" si="1"/>
        <v>162</v>
      </c>
      <c r="AE41">
        <f t="shared" si="2"/>
        <v>7.75</v>
      </c>
      <c r="AF41">
        <f t="shared" si="3"/>
        <v>6.75</v>
      </c>
      <c r="AG41">
        <f t="shared" si="4"/>
        <v>7.5</v>
      </c>
      <c r="AH41">
        <f t="shared" si="5"/>
        <v>7.25</v>
      </c>
      <c r="AI41">
        <f t="shared" si="6"/>
        <v>6.75</v>
      </c>
      <c r="AJ41">
        <f t="shared" si="7"/>
        <v>4.5</v>
      </c>
      <c r="AK41">
        <f t="shared" si="8"/>
        <v>0</v>
      </c>
      <c r="AL41" t="s">
        <v>83</v>
      </c>
      <c r="AM41">
        <f t="shared" si="9"/>
        <v>7.2</v>
      </c>
      <c r="AN41">
        <f t="shared" si="10"/>
        <v>13</v>
      </c>
      <c r="AO41">
        <f t="shared" si="11"/>
        <v>9</v>
      </c>
      <c r="AP41">
        <f t="shared" si="12"/>
        <v>10.4</v>
      </c>
      <c r="AQ41" s="6">
        <v>11</v>
      </c>
      <c r="AR41">
        <v>8</v>
      </c>
      <c r="AV41">
        <v>5</v>
      </c>
      <c r="AW41">
        <f t="shared" si="13"/>
        <v>6</v>
      </c>
      <c r="AX41">
        <f t="shared" si="14"/>
        <v>1</v>
      </c>
    </row>
    <row r="42" spans="1:50" x14ac:dyDescent="0.25">
      <c r="A42" t="s">
        <v>41</v>
      </c>
      <c r="B42">
        <v>9</v>
      </c>
      <c r="C42">
        <v>10</v>
      </c>
      <c r="D42">
        <v>8</v>
      </c>
      <c r="E42">
        <v>5</v>
      </c>
      <c r="F42">
        <v>8</v>
      </c>
      <c r="G42">
        <v>3</v>
      </c>
      <c r="H42">
        <v>0</v>
      </c>
      <c r="I42">
        <v>9</v>
      </c>
      <c r="J42">
        <v>11</v>
      </c>
      <c r="K42">
        <v>8</v>
      </c>
      <c r="L42">
        <v>12</v>
      </c>
      <c r="M42">
        <v>7</v>
      </c>
      <c r="N42">
        <v>2</v>
      </c>
      <c r="O42">
        <v>0</v>
      </c>
      <c r="P42">
        <v>7</v>
      </c>
      <c r="Q42">
        <v>13</v>
      </c>
      <c r="R42">
        <v>8</v>
      </c>
      <c r="S42">
        <v>10</v>
      </c>
      <c r="T42">
        <v>7</v>
      </c>
      <c r="U42">
        <v>4</v>
      </c>
      <c r="V42">
        <v>0</v>
      </c>
      <c r="W42">
        <v>6</v>
      </c>
      <c r="X42">
        <v>11</v>
      </c>
      <c r="Y42">
        <v>7</v>
      </c>
      <c r="Z42">
        <v>12</v>
      </c>
      <c r="AA42">
        <v>7</v>
      </c>
      <c r="AB42">
        <v>2</v>
      </c>
      <c r="AC42">
        <v>0</v>
      </c>
      <c r="AD42">
        <f t="shared" si="1"/>
        <v>186</v>
      </c>
      <c r="AE42">
        <f t="shared" si="2"/>
        <v>7.75</v>
      </c>
      <c r="AF42">
        <f t="shared" si="3"/>
        <v>11.25</v>
      </c>
      <c r="AG42">
        <f t="shared" si="4"/>
        <v>7.75</v>
      </c>
      <c r="AH42">
        <f t="shared" si="5"/>
        <v>9.75</v>
      </c>
      <c r="AI42">
        <f t="shared" si="6"/>
        <v>7.25</v>
      </c>
      <c r="AJ42">
        <f t="shared" si="7"/>
        <v>2.75</v>
      </c>
      <c r="AK42">
        <f t="shared" si="8"/>
        <v>0</v>
      </c>
      <c r="AL42" t="s">
        <v>83</v>
      </c>
      <c r="AM42">
        <f t="shared" si="9"/>
        <v>8.75</v>
      </c>
      <c r="AN42">
        <f t="shared" si="10"/>
        <v>13</v>
      </c>
      <c r="AO42">
        <f t="shared" si="11"/>
        <v>11.75</v>
      </c>
      <c r="AP42">
        <f t="shared" si="12"/>
        <v>9.4</v>
      </c>
      <c r="AQ42" s="6">
        <v>10</v>
      </c>
      <c r="AR42">
        <v>9</v>
      </c>
      <c r="AV42">
        <v>3</v>
      </c>
      <c r="AW42">
        <f t="shared" si="13"/>
        <v>4</v>
      </c>
      <c r="AX42">
        <f t="shared" si="14"/>
        <v>1</v>
      </c>
    </row>
    <row r="43" spans="1:50" x14ac:dyDescent="0.25">
      <c r="A43" t="s">
        <v>42</v>
      </c>
      <c r="B43">
        <v>6</v>
      </c>
      <c r="C43">
        <v>10</v>
      </c>
      <c r="D43">
        <v>7</v>
      </c>
      <c r="E43">
        <v>11</v>
      </c>
      <c r="F43">
        <v>12</v>
      </c>
      <c r="G43">
        <v>3</v>
      </c>
      <c r="H43">
        <v>0</v>
      </c>
      <c r="I43">
        <v>8</v>
      </c>
      <c r="J43">
        <v>3</v>
      </c>
      <c r="K43">
        <v>11</v>
      </c>
      <c r="L43">
        <v>11</v>
      </c>
      <c r="M43">
        <v>9</v>
      </c>
      <c r="N43">
        <v>4</v>
      </c>
      <c r="O43">
        <v>0</v>
      </c>
      <c r="P43">
        <v>11</v>
      </c>
      <c r="Q43">
        <v>9</v>
      </c>
      <c r="R43">
        <v>9</v>
      </c>
      <c r="S43">
        <v>5</v>
      </c>
      <c r="T43">
        <v>10</v>
      </c>
      <c r="U43">
        <v>4</v>
      </c>
      <c r="V43">
        <v>0</v>
      </c>
      <c r="W43">
        <v>13</v>
      </c>
      <c r="X43">
        <v>5</v>
      </c>
      <c r="Y43">
        <v>6</v>
      </c>
      <c r="Z43">
        <v>6</v>
      </c>
      <c r="AA43">
        <v>11</v>
      </c>
      <c r="AB43">
        <v>2</v>
      </c>
      <c r="AC43">
        <v>0</v>
      </c>
      <c r="AD43">
        <f t="shared" si="1"/>
        <v>186</v>
      </c>
      <c r="AE43">
        <f t="shared" si="2"/>
        <v>9.5</v>
      </c>
      <c r="AF43">
        <f t="shared" si="3"/>
        <v>6.75</v>
      </c>
      <c r="AG43">
        <f t="shared" si="4"/>
        <v>8.25</v>
      </c>
      <c r="AH43">
        <f t="shared" si="5"/>
        <v>8.25</v>
      </c>
      <c r="AI43">
        <f t="shared" si="6"/>
        <v>10.5</v>
      </c>
      <c r="AJ43">
        <f t="shared" si="7"/>
        <v>3.25</v>
      </c>
      <c r="AK43">
        <f t="shared" si="8"/>
        <v>0</v>
      </c>
      <c r="AL43" t="s">
        <v>83</v>
      </c>
      <c r="AM43">
        <f t="shared" si="9"/>
        <v>8.65</v>
      </c>
      <c r="AN43">
        <f t="shared" si="10"/>
        <v>13</v>
      </c>
      <c r="AO43">
        <f t="shared" si="11"/>
        <v>11.75</v>
      </c>
      <c r="AP43">
        <f t="shared" si="12"/>
        <v>9.1999999999999993</v>
      </c>
      <c r="AQ43" s="6">
        <v>10</v>
      </c>
      <c r="AR43">
        <v>9</v>
      </c>
      <c r="AV43">
        <v>4</v>
      </c>
      <c r="AW43">
        <f t="shared" si="13"/>
        <v>4</v>
      </c>
      <c r="AX43">
        <f t="shared" si="14"/>
        <v>0</v>
      </c>
    </row>
    <row r="44" spans="1:50" x14ac:dyDescent="0.25">
      <c r="A44" t="s">
        <v>43</v>
      </c>
      <c r="B44">
        <v>7</v>
      </c>
      <c r="C44">
        <v>8</v>
      </c>
      <c r="D44">
        <v>9</v>
      </c>
      <c r="E44">
        <v>14</v>
      </c>
      <c r="F44">
        <v>7</v>
      </c>
      <c r="G44">
        <v>3</v>
      </c>
      <c r="H44">
        <v>0</v>
      </c>
      <c r="I44">
        <v>8</v>
      </c>
      <c r="J44">
        <v>11</v>
      </c>
      <c r="K44">
        <v>11</v>
      </c>
      <c r="L44">
        <v>8</v>
      </c>
      <c r="M44">
        <v>10</v>
      </c>
      <c r="N44">
        <v>5</v>
      </c>
      <c r="O44">
        <v>0</v>
      </c>
      <c r="P44">
        <v>6</v>
      </c>
      <c r="Q44">
        <v>6</v>
      </c>
      <c r="R44">
        <v>5</v>
      </c>
      <c r="S44">
        <v>10</v>
      </c>
      <c r="T44">
        <v>6</v>
      </c>
      <c r="U44">
        <v>5</v>
      </c>
      <c r="V44">
        <v>0</v>
      </c>
      <c r="W44">
        <v>8</v>
      </c>
      <c r="X44">
        <v>5</v>
      </c>
      <c r="Y44">
        <v>8</v>
      </c>
      <c r="Z44">
        <v>8</v>
      </c>
      <c r="AA44">
        <v>9</v>
      </c>
      <c r="AB44">
        <v>5</v>
      </c>
      <c r="AC44">
        <v>0</v>
      </c>
      <c r="AD44">
        <f t="shared" si="1"/>
        <v>182</v>
      </c>
      <c r="AE44">
        <f t="shared" si="2"/>
        <v>7.25</v>
      </c>
      <c r="AF44">
        <f t="shared" si="3"/>
        <v>7.5</v>
      </c>
      <c r="AG44">
        <f t="shared" si="4"/>
        <v>8.25</v>
      </c>
      <c r="AH44">
        <f t="shared" si="5"/>
        <v>10</v>
      </c>
      <c r="AI44">
        <f t="shared" si="6"/>
        <v>8</v>
      </c>
      <c r="AJ44">
        <f t="shared" si="7"/>
        <v>4.5</v>
      </c>
      <c r="AK44">
        <f t="shared" si="8"/>
        <v>0</v>
      </c>
      <c r="AL44" t="s">
        <v>83</v>
      </c>
      <c r="AM44">
        <f t="shared" si="9"/>
        <v>8.1999999999999993</v>
      </c>
      <c r="AN44">
        <f t="shared" si="10"/>
        <v>14</v>
      </c>
      <c r="AO44">
        <f t="shared" si="11"/>
        <v>11</v>
      </c>
      <c r="AP44">
        <f t="shared" si="12"/>
        <v>9.6</v>
      </c>
      <c r="AQ44" s="6">
        <v>10</v>
      </c>
      <c r="AR44">
        <v>9</v>
      </c>
      <c r="AV44">
        <v>5</v>
      </c>
      <c r="AW44">
        <f t="shared" si="13"/>
        <v>5</v>
      </c>
      <c r="AX44">
        <f t="shared" si="14"/>
        <v>0</v>
      </c>
    </row>
    <row r="45" spans="1:50" x14ac:dyDescent="0.25">
      <c r="A45" t="s">
        <v>44</v>
      </c>
      <c r="B45">
        <v>8</v>
      </c>
      <c r="C45">
        <v>11</v>
      </c>
      <c r="D45">
        <v>7</v>
      </c>
      <c r="E45">
        <v>9</v>
      </c>
      <c r="F45">
        <v>8</v>
      </c>
      <c r="G45">
        <v>6</v>
      </c>
      <c r="H45">
        <v>0</v>
      </c>
      <c r="I45">
        <v>4</v>
      </c>
      <c r="J45">
        <v>8</v>
      </c>
      <c r="K45">
        <v>7</v>
      </c>
      <c r="L45">
        <v>13</v>
      </c>
      <c r="M45">
        <v>6</v>
      </c>
      <c r="N45">
        <v>5</v>
      </c>
      <c r="O45">
        <v>0</v>
      </c>
      <c r="P45">
        <v>8</v>
      </c>
      <c r="Q45">
        <v>9</v>
      </c>
      <c r="R45">
        <v>12</v>
      </c>
      <c r="S45">
        <v>8</v>
      </c>
      <c r="T45">
        <v>8</v>
      </c>
      <c r="U45">
        <v>3</v>
      </c>
      <c r="V45">
        <v>0</v>
      </c>
      <c r="W45">
        <v>7</v>
      </c>
      <c r="X45">
        <v>10</v>
      </c>
      <c r="Y45">
        <v>11</v>
      </c>
      <c r="Z45">
        <v>7</v>
      </c>
      <c r="AA45">
        <v>10</v>
      </c>
      <c r="AB45">
        <v>5</v>
      </c>
      <c r="AC45">
        <v>0</v>
      </c>
      <c r="AD45">
        <f t="shared" si="1"/>
        <v>190</v>
      </c>
      <c r="AE45">
        <f t="shared" si="2"/>
        <v>6.75</v>
      </c>
      <c r="AF45">
        <f t="shared" si="3"/>
        <v>9.5</v>
      </c>
      <c r="AG45">
        <f t="shared" si="4"/>
        <v>9.25</v>
      </c>
      <c r="AH45">
        <f t="shared" si="5"/>
        <v>9.25</v>
      </c>
      <c r="AI45">
        <f t="shared" si="6"/>
        <v>8</v>
      </c>
      <c r="AJ45">
        <f t="shared" si="7"/>
        <v>4.75</v>
      </c>
      <c r="AK45">
        <f t="shared" si="8"/>
        <v>0</v>
      </c>
      <c r="AL45" t="s">
        <v>83</v>
      </c>
      <c r="AM45">
        <f t="shared" si="9"/>
        <v>8.5500000000000007</v>
      </c>
      <c r="AN45">
        <f t="shared" si="10"/>
        <v>13</v>
      </c>
      <c r="AO45">
        <f t="shared" si="11"/>
        <v>11.75</v>
      </c>
      <c r="AP45">
        <f t="shared" si="12"/>
        <v>9</v>
      </c>
      <c r="AQ45" s="6">
        <v>9</v>
      </c>
      <c r="AR45">
        <v>9</v>
      </c>
      <c r="AV45">
        <v>5</v>
      </c>
      <c r="AW45">
        <f t="shared" si="13"/>
        <v>6</v>
      </c>
      <c r="AX45">
        <f t="shared" si="14"/>
        <v>1</v>
      </c>
    </row>
    <row r="46" spans="1:50" x14ac:dyDescent="0.25">
      <c r="A46" t="s">
        <v>45</v>
      </c>
      <c r="B46">
        <v>9</v>
      </c>
      <c r="C46">
        <v>7</v>
      </c>
      <c r="D46">
        <v>7</v>
      </c>
      <c r="E46">
        <v>10</v>
      </c>
      <c r="F46">
        <v>6</v>
      </c>
      <c r="G46">
        <v>5</v>
      </c>
      <c r="H46">
        <v>0</v>
      </c>
      <c r="I46">
        <v>10</v>
      </c>
      <c r="J46">
        <v>7</v>
      </c>
      <c r="K46">
        <v>7</v>
      </c>
      <c r="L46">
        <v>7</v>
      </c>
      <c r="M46">
        <v>8</v>
      </c>
      <c r="N46">
        <v>2</v>
      </c>
      <c r="O46">
        <v>0</v>
      </c>
      <c r="P46">
        <v>10</v>
      </c>
      <c r="Q46">
        <v>5</v>
      </c>
      <c r="R46">
        <v>5</v>
      </c>
      <c r="S46">
        <v>8</v>
      </c>
      <c r="T46">
        <v>8</v>
      </c>
      <c r="U46">
        <v>3</v>
      </c>
      <c r="V46">
        <v>0</v>
      </c>
      <c r="W46">
        <v>5</v>
      </c>
      <c r="X46">
        <v>7</v>
      </c>
      <c r="Y46">
        <v>4</v>
      </c>
      <c r="Z46">
        <v>10</v>
      </c>
      <c r="AA46">
        <v>4</v>
      </c>
      <c r="AB46">
        <v>4</v>
      </c>
      <c r="AC46">
        <v>0</v>
      </c>
      <c r="AD46">
        <f t="shared" si="1"/>
        <v>158</v>
      </c>
      <c r="AE46">
        <f t="shared" si="2"/>
        <v>8.5</v>
      </c>
      <c r="AF46">
        <f t="shared" si="3"/>
        <v>6.5</v>
      </c>
      <c r="AG46">
        <f t="shared" si="4"/>
        <v>5.75</v>
      </c>
      <c r="AH46">
        <f t="shared" si="5"/>
        <v>8.75</v>
      </c>
      <c r="AI46">
        <f t="shared" si="6"/>
        <v>6.5</v>
      </c>
      <c r="AJ46">
        <f t="shared" si="7"/>
        <v>3.5</v>
      </c>
      <c r="AK46">
        <f t="shared" si="8"/>
        <v>0</v>
      </c>
      <c r="AL46" t="s">
        <v>83</v>
      </c>
      <c r="AM46">
        <f t="shared" si="9"/>
        <v>7.2</v>
      </c>
      <c r="AN46">
        <f t="shared" si="10"/>
        <v>10</v>
      </c>
      <c r="AO46">
        <f t="shared" si="11"/>
        <v>10</v>
      </c>
      <c r="AP46">
        <f t="shared" si="12"/>
        <v>7.8</v>
      </c>
      <c r="AQ46" s="6">
        <v>8</v>
      </c>
      <c r="AR46">
        <v>8</v>
      </c>
      <c r="AV46">
        <v>4</v>
      </c>
      <c r="AW46">
        <f t="shared" si="13"/>
        <v>5</v>
      </c>
      <c r="AX46">
        <f t="shared" si="14"/>
        <v>1</v>
      </c>
    </row>
    <row r="47" spans="1:50" x14ac:dyDescent="0.25">
      <c r="A47" t="s">
        <v>46</v>
      </c>
      <c r="B47">
        <v>10</v>
      </c>
      <c r="C47">
        <v>6</v>
      </c>
      <c r="D47">
        <v>6</v>
      </c>
      <c r="E47">
        <v>12</v>
      </c>
      <c r="F47">
        <v>4</v>
      </c>
      <c r="G47">
        <v>2</v>
      </c>
      <c r="H47">
        <v>0</v>
      </c>
      <c r="I47">
        <v>5</v>
      </c>
      <c r="J47">
        <v>7</v>
      </c>
      <c r="K47">
        <v>6</v>
      </c>
      <c r="L47">
        <v>5</v>
      </c>
      <c r="M47">
        <v>8</v>
      </c>
      <c r="N47">
        <v>4</v>
      </c>
      <c r="O47">
        <v>0</v>
      </c>
      <c r="P47">
        <v>5</v>
      </c>
      <c r="Q47">
        <v>6</v>
      </c>
      <c r="R47">
        <v>13</v>
      </c>
      <c r="S47">
        <v>5</v>
      </c>
      <c r="T47">
        <v>9</v>
      </c>
      <c r="U47">
        <v>2</v>
      </c>
      <c r="V47">
        <v>0</v>
      </c>
      <c r="W47">
        <v>7</v>
      </c>
      <c r="X47">
        <v>10</v>
      </c>
      <c r="Y47">
        <v>5</v>
      </c>
      <c r="Z47">
        <v>6</v>
      </c>
      <c r="AA47">
        <v>6</v>
      </c>
      <c r="AB47">
        <v>4</v>
      </c>
      <c r="AC47">
        <v>0</v>
      </c>
      <c r="AD47">
        <f t="shared" si="1"/>
        <v>153</v>
      </c>
      <c r="AE47">
        <f t="shared" si="2"/>
        <v>6.75</v>
      </c>
      <c r="AF47">
        <f t="shared" si="3"/>
        <v>7.25</v>
      </c>
      <c r="AG47">
        <f t="shared" si="4"/>
        <v>7.5</v>
      </c>
      <c r="AH47">
        <f t="shared" si="5"/>
        <v>7</v>
      </c>
      <c r="AI47">
        <f t="shared" si="6"/>
        <v>6.75</v>
      </c>
      <c r="AJ47">
        <f t="shared" si="7"/>
        <v>3</v>
      </c>
      <c r="AK47">
        <f t="shared" si="8"/>
        <v>0</v>
      </c>
      <c r="AL47" t="s">
        <v>83</v>
      </c>
      <c r="AM47">
        <f t="shared" si="9"/>
        <v>7.05</v>
      </c>
      <c r="AN47">
        <f t="shared" si="10"/>
        <v>13</v>
      </c>
      <c r="AO47">
        <f t="shared" si="11"/>
        <v>10.75</v>
      </c>
      <c r="AP47">
        <f t="shared" si="12"/>
        <v>7.6</v>
      </c>
      <c r="AQ47" s="6">
        <v>8</v>
      </c>
      <c r="AR47">
        <v>8</v>
      </c>
      <c r="AV47">
        <v>3</v>
      </c>
      <c r="AW47">
        <f t="shared" si="13"/>
        <v>4</v>
      </c>
      <c r="AX47">
        <f t="shared" si="14"/>
        <v>1</v>
      </c>
    </row>
    <row r="48" spans="1:50" x14ac:dyDescent="0.25">
      <c r="A48" t="s">
        <v>47</v>
      </c>
      <c r="B48">
        <v>9</v>
      </c>
      <c r="C48">
        <v>7</v>
      </c>
      <c r="D48">
        <v>8</v>
      </c>
      <c r="E48">
        <v>8</v>
      </c>
      <c r="F48">
        <v>7</v>
      </c>
      <c r="G48">
        <v>2</v>
      </c>
      <c r="H48">
        <v>0</v>
      </c>
      <c r="I48">
        <v>8</v>
      </c>
      <c r="J48">
        <v>9</v>
      </c>
      <c r="K48">
        <v>9</v>
      </c>
      <c r="L48">
        <v>12</v>
      </c>
      <c r="M48">
        <v>10</v>
      </c>
      <c r="N48">
        <v>2</v>
      </c>
      <c r="O48">
        <v>0</v>
      </c>
      <c r="P48">
        <v>10</v>
      </c>
      <c r="Q48">
        <v>10</v>
      </c>
      <c r="R48">
        <v>10</v>
      </c>
      <c r="S48">
        <v>5</v>
      </c>
      <c r="T48">
        <v>10</v>
      </c>
      <c r="U48">
        <v>5</v>
      </c>
      <c r="V48">
        <v>0</v>
      </c>
      <c r="W48">
        <v>6</v>
      </c>
      <c r="X48">
        <v>11</v>
      </c>
      <c r="Y48">
        <v>6</v>
      </c>
      <c r="Z48">
        <v>6</v>
      </c>
      <c r="AA48">
        <v>9</v>
      </c>
      <c r="AB48">
        <v>4</v>
      </c>
      <c r="AC48">
        <v>0</v>
      </c>
      <c r="AD48">
        <f t="shared" si="1"/>
        <v>183</v>
      </c>
      <c r="AE48">
        <f t="shared" si="2"/>
        <v>8.25</v>
      </c>
      <c r="AF48">
        <f t="shared" si="3"/>
        <v>9.25</v>
      </c>
      <c r="AG48">
        <f t="shared" si="4"/>
        <v>8.25</v>
      </c>
      <c r="AH48">
        <f t="shared" si="5"/>
        <v>7.75</v>
      </c>
      <c r="AI48">
        <f t="shared" si="6"/>
        <v>9</v>
      </c>
      <c r="AJ48">
        <f t="shared" si="7"/>
        <v>3.25</v>
      </c>
      <c r="AK48">
        <f t="shared" si="8"/>
        <v>0</v>
      </c>
      <c r="AL48" t="s">
        <v>83</v>
      </c>
      <c r="AM48">
        <f t="shared" si="9"/>
        <v>8.5</v>
      </c>
      <c r="AN48">
        <f t="shared" si="10"/>
        <v>12</v>
      </c>
      <c r="AO48">
        <f t="shared" si="11"/>
        <v>10.5</v>
      </c>
      <c r="AP48">
        <f t="shared" si="12"/>
        <v>9.6</v>
      </c>
      <c r="AQ48" s="6">
        <v>10</v>
      </c>
      <c r="AR48">
        <v>9</v>
      </c>
      <c r="AV48">
        <v>4</v>
      </c>
      <c r="AW48">
        <f t="shared" si="13"/>
        <v>5</v>
      </c>
      <c r="AX48">
        <f t="shared" si="14"/>
        <v>1</v>
      </c>
    </row>
    <row r="49" spans="1:51" x14ac:dyDescent="0.25">
      <c r="A49" t="s">
        <v>48</v>
      </c>
      <c r="B49">
        <v>7</v>
      </c>
      <c r="C49">
        <v>7</v>
      </c>
      <c r="D49">
        <v>8</v>
      </c>
      <c r="E49">
        <v>8</v>
      </c>
      <c r="F49">
        <v>9</v>
      </c>
      <c r="G49">
        <v>2</v>
      </c>
      <c r="H49">
        <v>0</v>
      </c>
      <c r="I49">
        <v>10</v>
      </c>
      <c r="J49">
        <v>8</v>
      </c>
      <c r="K49">
        <v>5</v>
      </c>
      <c r="L49">
        <v>15</v>
      </c>
      <c r="M49">
        <v>3</v>
      </c>
      <c r="N49">
        <v>2</v>
      </c>
      <c r="O49">
        <v>0</v>
      </c>
      <c r="P49">
        <v>11</v>
      </c>
      <c r="Q49">
        <v>5</v>
      </c>
      <c r="R49">
        <v>5</v>
      </c>
      <c r="S49">
        <v>10</v>
      </c>
      <c r="T49">
        <v>10</v>
      </c>
      <c r="U49">
        <v>5</v>
      </c>
      <c r="V49">
        <v>0</v>
      </c>
      <c r="W49">
        <v>7</v>
      </c>
      <c r="X49">
        <v>6</v>
      </c>
      <c r="Y49">
        <v>12</v>
      </c>
      <c r="Z49">
        <v>7</v>
      </c>
      <c r="AA49">
        <v>11</v>
      </c>
      <c r="AB49">
        <v>5</v>
      </c>
      <c r="AC49">
        <v>0</v>
      </c>
      <c r="AD49">
        <f t="shared" si="1"/>
        <v>178</v>
      </c>
      <c r="AE49">
        <f t="shared" si="2"/>
        <v>8.75</v>
      </c>
      <c r="AF49">
        <f t="shared" si="3"/>
        <v>6.5</v>
      </c>
      <c r="AG49">
        <f t="shared" si="4"/>
        <v>7.5</v>
      </c>
      <c r="AH49">
        <f t="shared" si="5"/>
        <v>10</v>
      </c>
      <c r="AI49">
        <f t="shared" si="6"/>
        <v>8.25</v>
      </c>
      <c r="AJ49">
        <f t="shared" si="7"/>
        <v>3.5</v>
      </c>
      <c r="AK49">
        <f t="shared" si="8"/>
        <v>0</v>
      </c>
      <c r="AL49" t="s">
        <v>83</v>
      </c>
      <c r="AM49">
        <f t="shared" si="9"/>
        <v>8.1999999999999993</v>
      </c>
      <c r="AN49">
        <f t="shared" si="10"/>
        <v>15</v>
      </c>
      <c r="AO49">
        <f t="shared" si="11"/>
        <v>11.75</v>
      </c>
      <c r="AP49">
        <f t="shared" si="12"/>
        <v>8.6</v>
      </c>
      <c r="AQ49" s="6">
        <v>9</v>
      </c>
      <c r="AR49">
        <v>9</v>
      </c>
      <c r="AV49">
        <v>4</v>
      </c>
      <c r="AW49">
        <f t="shared" si="13"/>
        <v>5</v>
      </c>
      <c r="AX49">
        <f t="shared" si="14"/>
        <v>1</v>
      </c>
    </row>
    <row r="50" spans="1:51" x14ac:dyDescent="0.25">
      <c r="A50" t="s">
        <v>49</v>
      </c>
      <c r="B50">
        <v>6</v>
      </c>
      <c r="C50">
        <v>10</v>
      </c>
      <c r="D50">
        <v>10</v>
      </c>
      <c r="E50">
        <v>3</v>
      </c>
      <c r="F50">
        <v>15</v>
      </c>
      <c r="G50">
        <v>5</v>
      </c>
      <c r="H50">
        <v>0</v>
      </c>
      <c r="I50">
        <v>8</v>
      </c>
      <c r="J50">
        <v>10</v>
      </c>
      <c r="K50">
        <v>8</v>
      </c>
      <c r="L50">
        <v>9</v>
      </c>
      <c r="M50">
        <v>8</v>
      </c>
      <c r="N50">
        <v>5</v>
      </c>
      <c r="O50">
        <v>0</v>
      </c>
      <c r="P50">
        <v>8</v>
      </c>
      <c r="Q50">
        <v>9</v>
      </c>
      <c r="R50">
        <v>10</v>
      </c>
      <c r="S50">
        <v>6</v>
      </c>
      <c r="T50">
        <v>10</v>
      </c>
      <c r="U50">
        <v>5</v>
      </c>
      <c r="V50">
        <v>0</v>
      </c>
      <c r="W50">
        <v>5</v>
      </c>
      <c r="X50">
        <v>6</v>
      </c>
      <c r="Y50">
        <v>5</v>
      </c>
      <c r="Z50">
        <v>9</v>
      </c>
      <c r="AA50">
        <v>5</v>
      </c>
      <c r="AB50">
        <v>3</v>
      </c>
      <c r="AC50">
        <v>0</v>
      </c>
      <c r="AD50">
        <f t="shared" si="1"/>
        <v>178</v>
      </c>
      <c r="AE50">
        <f t="shared" si="2"/>
        <v>6.75</v>
      </c>
      <c r="AF50">
        <f t="shared" si="3"/>
        <v>8.75</v>
      </c>
      <c r="AG50">
        <f t="shared" si="4"/>
        <v>8.25</v>
      </c>
      <c r="AH50">
        <f t="shared" si="5"/>
        <v>6.75</v>
      </c>
      <c r="AI50">
        <f t="shared" si="6"/>
        <v>9.5</v>
      </c>
      <c r="AJ50">
        <f t="shared" si="7"/>
        <v>4.5</v>
      </c>
      <c r="AK50">
        <f t="shared" si="8"/>
        <v>0</v>
      </c>
      <c r="AL50" t="s">
        <v>83</v>
      </c>
      <c r="AM50">
        <f t="shared" si="9"/>
        <v>8</v>
      </c>
      <c r="AN50">
        <f t="shared" si="10"/>
        <v>15</v>
      </c>
      <c r="AO50">
        <f t="shared" si="11"/>
        <v>11</v>
      </c>
      <c r="AP50">
        <f t="shared" si="12"/>
        <v>8.8000000000000007</v>
      </c>
      <c r="AQ50" s="6">
        <v>9</v>
      </c>
      <c r="AR50">
        <v>8</v>
      </c>
      <c r="AV50">
        <v>5</v>
      </c>
      <c r="AW50">
        <f t="shared" si="13"/>
        <v>5</v>
      </c>
      <c r="AX50">
        <f t="shared" si="14"/>
        <v>0</v>
      </c>
    </row>
    <row r="51" spans="1:51" x14ac:dyDescent="0.25">
      <c r="A51" t="s">
        <v>50</v>
      </c>
      <c r="B51">
        <v>5</v>
      </c>
      <c r="C51">
        <v>7</v>
      </c>
      <c r="D51">
        <v>4</v>
      </c>
      <c r="E51">
        <v>7</v>
      </c>
      <c r="F51">
        <v>8</v>
      </c>
      <c r="G51">
        <v>2</v>
      </c>
      <c r="H51">
        <v>0</v>
      </c>
      <c r="I51">
        <v>8</v>
      </c>
      <c r="J51">
        <v>7</v>
      </c>
      <c r="K51">
        <v>5</v>
      </c>
      <c r="L51">
        <v>6</v>
      </c>
      <c r="M51">
        <v>8</v>
      </c>
      <c r="N51">
        <v>2</v>
      </c>
      <c r="O51">
        <v>0</v>
      </c>
      <c r="P51">
        <v>8</v>
      </c>
      <c r="Q51">
        <v>5</v>
      </c>
      <c r="R51">
        <v>9</v>
      </c>
      <c r="S51">
        <v>8</v>
      </c>
      <c r="T51">
        <v>10</v>
      </c>
      <c r="U51">
        <v>4</v>
      </c>
      <c r="V51">
        <v>0</v>
      </c>
      <c r="W51">
        <v>10</v>
      </c>
      <c r="X51">
        <v>6</v>
      </c>
      <c r="Y51">
        <v>13</v>
      </c>
      <c r="Z51">
        <v>8</v>
      </c>
      <c r="AA51">
        <v>12</v>
      </c>
      <c r="AB51">
        <v>2</v>
      </c>
      <c r="AC51">
        <v>0</v>
      </c>
      <c r="AD51">
        <f t="shared" si="1"/>
        <v>164</v>
      </c>
      <c r="AE51">
        <f t="shared" si="2"/>
        <v>7.75</v>
      </c>
      <c r="AF51">
        <f t="shared" si="3"/>
        <v>6.25</v>
      </c>
      <c r="AG51">
        <f t="shared" si="4"/>
        <v>7.75</v>
      </c>
      <c r="AH51">
        <f t="shared" si="5"/>
        <v>7.25</v>
      </c>
      <c r="AI51">
        <f t="shared" si="6"/>
        <v>9.5</v>
      </c>
      <c r="AJ51">
        <f t="shared" si="7"/>
        <v>2.5</v>
      </c>
      <c r="AK51">
        <f t="shared" si="8"/>
        <v>0</v>
      </c>
      <c r="AL51" t="s">
        <v>83</v>
      </c>
      <c r="AM51">
        <f t="shared" si="9"/>
        <v>7.7</v>
      </c>
      <c r="AN51">
        <f t="shared" si="10"/>
        <v>13</v>
      </c>
      <c r="AO51">
        <f t="shared" si="11"/>
        <v>9.75</v>
      </c>
      <c r="AP51">
        <f t="shared" si="12"/>
        <v>9.8000000000000007</v>
      </c>
      <c r="AQ51" s="6">
        <v>10</v>
      </c>
      <c r="AR51">
        <v>8</v>
      </c>
      <c r="AV51">
        <v>3</v>
      </c>
      <c r="AW51">
        <f t="shared" si="13"/>
        <v>4</v>
      </c>
      <c r="AX51">
        <f t="shared" si="14"/>
        <v>1</v>
      </c>
    </row>
    <row r="52" spans="1:51" x14ac:dyDescent="0.25">
      <c r="A52" t="s">
        <v>51</v>
      </c>
      <c r="B52">
        <v>9</v>
      </c>
      <c r="C52">
        <v>10</v>
      </c>
      <c r="D52">
        <v>6</v>
      </c>
      <c r="E52">
        <v>11</v>
      </c>
      <c r="F52">
        <v>4</v>
      </c>
      <c r="G52">
        <v>2</v>
      </c>
      <c r="H52">
        <v>0</v>
      </c>
      <c r="I52">
        <v>12</v>
      </c>
      <c r="J52">
        <v>4</v>
      </c>
      <c r="K52">
        <v>6</v>
      </c>
      <c r="L52">
        <v>6</v>
      </c>
      <c r="M52">
        <v>8</v>
      </c>
      <c r="N52">
        <v>2</v>
      </c>
      <c r="O52">
        <v>0</v>
      </c>
      <c r="P52">
        <v>6</v>
      </c>
      <c r="Q52">
        <v>9</v>
      </c>
      <c r="R52">
        <v>6</v>
      </c>
      <c r="S52">
        <v>6</v>
      </c>
      <c r="T52">
        <v>8</v>
      </c>
      <c r="U52">
        <v>5</v>
      </c>
      <c r="V52">
        <v>0</v>
      </c>
      <c r="W52">
        <v>8</v>
      </c>
      <c r="X52">
        <v>8</v>
      </c>
      <c r="Y52">
        <v>5</v>
      </c>
      <c r="Z52">
        <v>8</v>
      </c>
      <c r="AA52">
        <v>12</v>
      </c>
      <c r="AB52">
        <v>6</v>
      </c>
      <c r="AC52">
        <v>0</v>
      </c>
      <c r="AD52">
        <f t="shared" si="1"/>
        <v>167</v>
      </c>
      <c r="AE52">
        <f t="shared" si="2"/>
        <v>8.75</v>
      </c>
      <c r="AF52">
        <f t="shared" si="3"/>
        <v>7.75</v>
      </c>
      <c r="AG52">
        <f t="shared" si="4"/>
        <v>5.75</v>
      </c>
      <c r="AH52">
        <f t="shared" si="5"/>
        <v>7.75</v>
      </c>
      <c r="AI52">
        <f t="shared" si="6"/>
        <v>8</v>
      </c>
      <c r="AJ52">
        <f t="shared" si="7"/>
        <v>3.75</v>
      </c>
      <c r="AK52">
        <f t="shared" si="8"/>
        <v>0</v>
      </c>
      <c r="AL52" t="s">
        <v>83</v>
      </c>
      <c r="AM52">
        <f t="shared" si="9"/>
        <v>7.6</v>
      </c>
      <c r="AN52">
        <f t="shared" si="10"/>
        <v>12</v>
      </c>
      <c r="AO52">
        <f t="shared" si="11"/>
        <v>11</v>
      </c>
      <c r="AP52">
        <f t="shared" si="12"/>
        <v>8.1999999999999993</v>
      </c>
      <c r="AQ52" s="6">
        <v>9</v>
      </c>
      <c r="AR52">
        <v>8</v>
      </c>
      <c r="AV52">
        <v>4</v>
      </c>
      <c r="AW52">
        <f t="shared" si="13"/>
        <v>6</v>
      </c>
      <c r="AX52">
        <f t="shared" si="14"/>
        <v>2</v>
      </c>
    </row>
    <row r="53" spans="1:51" x14ac:dyDescent="0.25">
      <c r="A53" t="s">
        <v>52</v>
      </c>
      <c r="B53">
        <v>8</v>
      </c>
      <c r="C53">
        <v>7</v>
      </c>
      <c r="D53">
        <v>11</v>
      </c>
      <c r="E53">
        <v>7</v>
      </c>
      <c r="F53">
        <v>12</v>
      </c>
      <c r="G53">
        <v>5</v>
      </c>
      <c r="H53">
        <v>0</v>
      </c>
      <c r="I53">
        <v>9</v>
      </c>
      <c r="J53">
        <v>9</v>
      </c>
      <c r="K53">
        <v>7</v>
      </c>
      <c r="L53">
        <v>8</v>
      </c>
      <c r="M53">
        <v>6</v>
      </c>
      <c r="N53">
        <v>4</v>
      </c>
      <c r="O53">
        <v>0</v>
      </c>
      <c r="P53">
        <v>6</v>
      </c>
      <c r="Q53">
        <v>8</v>
      </c>
      <c r="R53">
        <v>9</v>
      </c>
      <c r="S53">
        <v>5</v>
      </c>
      <c r="T53">
        <v>4</v>
      </c>
      <c r="U53">
        <v>2</v>
      </c>
      <c r="V53">
        <v>0</v>
      </c>
      <c r="W53">
        <v>9</v>
      </c>
      <c r="X53">
        <v>10</v>
      </c>
      <c r="Y53">
        <v>5</v>
      </c>
      <c r="Z53">
        <v>8</v>
      </c>
      <c r="AA53">
        <v>10</v>
      </c>
      <c r="AB53">
        <v>3</v>
      </c>
      <c r="AC53">
        <v>0</v>
      </c>
      <c r="AD53">
        <f t="shared" si="1"/>
        <v>172</v>
      </c>
      <c r="AE53">
        <f t="shared" si="2"/>
        <v>8</v>
      </c>
      <c r="AF53">
        <f t="shared" si="3"/>
        <v>8.5</v>
      </c>
      <c r="AG53">
        <f t="shared" si="4"/>
        <v>8</v>
      </c>
      <c r="AH53">
        <f t="shared" si="5"/>
        <v>7</v>
      </c>
      <c r="AI53">
        <f t="shared" si="6"/>
        <v>8</v>
      </c>
      <c r="AJ53">
        <f t="shared" si="7"/>
        <v>3.5</v>
      </c>
      <c r="AK53">
        <f t="shared" si="8"/>
        <v>0</v>
      </c>
      <c r="AL53" t="s">
        <v>83</v>
      </c>
      <c r="AM53">
        <f t="shared" si="9"/>
        <v>7.9</v>
      </c>
      <c r="AN53">
        <f t="shared" si="10"/>
        <v>12</v>
      </c>
      <c r="AO53">
        <f t="shared" si="11"/>
        <v>10</v>
      </c>
      <c r="AP53">
        <f t="shared" si="12"/>
        <v>9</v>
      </c>
      <c r="AQ53" s="6">
        <v>9</v>
      </c>
      <c r="AR53">
        <v>8</v>
      </c>
      <c r="AV53">
        <v>4</v>
      </c>
      <c r="AW53">
        <f t="shared" si="13"/>
        <v>5</v>
      </c>
      <c r="AX53">
        <f t="shared" si="14"/>
        <v>1</v>
      </c>
    </row>
    <row r="54" spans="1:51" x14ac:dyDescent="0.25">
      <c r="A54" t="s">
        <v>53</v>
      </c>
      <c r="B54">
        <v>10</v>
      </c>
      <c r="C54">
        <v>12</v>
      </c>
      <c r="D54">
        <v>11</v>
      </c>
      <c r="E54">
        <v>9</v>
      </c>
      <c r="F54">
        <v>11</v>
      </c>
      <c r="G54">
        <v>2</v>
      </c>
      <c r="H54">
        <v>0</v>
      </c>
      <c r="I54">
        <v>9</v>
      </c>
      <c r="J54">
        <v>11</v>
      </c>
      <c r="K54">
        <v>8</v>
      </c>
      <c r="L54">
        <v>7</v>
      </c>
      <c r="M54">
        <v>7</v>
      </c>
      <c r="N54">
        <v>4</v>
      </c>
      <c r="O54">
        <v>0</v>
      </c>
      <c r="P54">
        <v>13</v>
      </c>
      <c r="Q54">
        <v>14</v>
      </c>
      <c r="R54">
        <v>7</v>
      </c>
      <c r="S54">
        <v>7</v>
      </c>
      <c r="T54">
        <v>8</v>
      </c>
      <c r="U54">
        <v>4</v>
      </c>
      <c r="V54">
        <v>0</v>
      </c>
      <c r="W54">
        <v>6</v>
      </c>
      <c r="X54">
        <v>6</v>
      </c>
      <c r="Y54">
        <v>7</v>
      </c>
      <c r="Z54">
        <v>10</v>
      </c>
      <c r="AA54">
        <v>8</v>
      </c>
      <c r="AB54">
        <v>6</v>
      </c>
      <c r="AC54">
        <v>0</v>
      </c>
      <c r="AD54">
        <f t="shared" si="1"/>
        <v>197</v>
      </c>
      <c r="AE54">
        <f t="shared" si="2"/>
        <v>9.5</v>
      </c>
      <c r="AF54">
        <f t="shared" si="3"/>
        <v>10.75</v>
      </c>
      <c r="AG54">
        <f t="shared" si="4"/>
        <v>8.25</v>
      </c>
      <c r="AH54">
        <f t="shared" si="5"/>
        <v>8.25</v>
      </c>
      <c r="AI54">
        <f t="shared" si="6"/>
        <v>8.5</v>
      </c>
      <c r="AJ54">
        <f t="shared" si="7"/>
        <v>4</v>
      </c>
      <c r="AK54">
        <f t="shared" si="8"/>
        <v>0</v>
      </c>
      <c r="AL54" t="s">
        <v>83</v>
      </c>
      <c r="AM54">
        <f t="shared" si="9"/>
        <v>9.0500000000000007</v>
      </c>
      <c r="AN54">
        <f t="shared" si="10"/>
        <v>14</v>
      </c>
      <c r="AO54">
        <f t="shared" si="11"/>
        <v>11.75</v>
      </c>
      <c r="AP54">
        <f t="shared" si="12"/>
        <v>10.6</v>
      </c>
      <c r="AQ54" s="6">
        <v>11</v>
      </c>
      <c r="AR54">
        <v>10</v>
      </c>
      <c r="AV54">
        <v>4</v>
      </c>
      <c r="AW54">
        <f t="shared" si="13"/>
        <v>6</v>
      </c>
      <c r="AX54">
        <f t="shared" si="14"/>
        <v>2</v>
      </c>
    </row>
    <row r="55" spans="1:51" x14ac:dyDescent="0.25">
      <c r="A55" t="s">
        <v>54</v>
      </c>
      <c r="B55">
        <v>15</v>
      </c>
      <c r="C55">
        <v>7</v>
      </c>
      <c r="D55">
        <v>8</v>
      </c>
      <c r="E55">
        <v>13</v>
      </c>
      <c r="F55">
        <v>12</v>
      </c>
      <c r="G55">
        <v>5</v>
      </c>
      <c r="H55">
        <v>0</v>
      </c>
      <c r="I55">
        <v>4</v>
      </c>
      <c r="J55">
        <v>10</v>
      </c>
      <c r="K55">
        <v>9</v>
      </c>
      <c r="L55">
        <v>8</v>
      </c>
      <c r="M55">
        <v>10</v>
      </c>
      <c r="N55">
        <v>5</v>
      </c>
      <c r="O55">
        <v>0</v>
      </c>
      <c r="P55">
        <v>14</v>
      </c>
      <c r="Q55">
        <v>9</v>
      </c>
      <c r="R55">
        <v>10</v>
      </c>
      <c r="S55">
        <v>6</v>
      </c>
      <c r="T55">
        <v>10</v>
      </c>
      <c r="U55">
        <v>2</v>
      </c>
      <c r="V55">
        <v>0</v>
      </c>
      <c r="W55">
        <v>8</v>
      </c>
      <c r="X55">
        <v>8</v>
      </c>
      <c r="Y55">
        <v>8</v>
      </c>
      <c r="Z55">
        <v>8</v>
      </c>
      <c r="AA55">
        <v>11</v>
      </c>
      <c r="AB55">
        <v>4</v>
      </c>
      <c r="AC55">
        <v>0</v>
      </c>
      <c r="AD55">
        <f t="shared" si="1"/>
        <v>204</v>
      </c>
      <c r="AE55">
        <f t="shared" si="2"/>
        <v>10.25</v>
      </c>
      <c r="AF55">
        <f t="shared" si="3"/>
        <v>8.5</v>
      </c>
      <c r="AG55">
        <f t="shared" si="4"/>
        <v>8.75</v>
      </c>
      <c r="AH55">
        <f t="shared" si="5"/>
        <v>8.75</v>
      </c>
      <c r="AI55">
        <f t="shared" si="6"/>
        <v>10.75</v>
      </c>
      <c r="AJ55">
        <f t="shared" si="7"/>
        <v>4</v>
      </c>
      <c r="AK55">
        <f t="shared" si="8"/>
        <v>0</v>
      </c>
      <c r="AL55" t="s">
        <v>83</v>
      </c>
      <c r="AM55">
        <f t="shared" si="9"/>
        <v>9.4</v>
      </c>
      <c r="AN55">
        <f t="shared" si="10"/>
        <v>15</v>
      </c>
      <c r="AO55">
        <f t="shared" si="11"/>
        <v>12.5</v>
      </c>
      <c r="AP55">
        <f t="shared" si="12"/>
        <v>11</v>
      </c>
      <c r="AQ55" s="6">
        <v>11</v>
      </c>
      <c r="AR55">
        <v>10</v>
      </c>
      <c r="AV55">
        <v>4</v>
      </c>
      <c r="AW55">
        <f t="shared" si="13"/>
        <v>5</v>
      </c>
      <c r="AX55">
        <f t="shared" si="14"/>
        <v>1</v>
      </c>
      <c r="AY55" t="s">
        <v>102</v>
      </c>
    </row>
    <row r="56" spans="1:51" x14ac:dyDescent="0.25">
      <c r="A56" t="s">
        <v>55</v>
      </c>
      <c r="B56">
        <v>7</v>
      </c>
      <c r="C56">
        <v>6</v>
      </c>
      <c r="D56">
        <v>6</v>
      </c>
      <c r="E56">
        <v>9</v>
      </c>
      <c r="F56">
        <v>5</v>
      </c>
      <c r="G56">
        <v>5</v>
      </c>
      <c r="H56">
        <v>0</v>
      </c>
      <c r="I56">
        <v>6</v>
      </c>
      <c r="J56">
        <v>10</v>
      </c>
      <c r="K56">
        <v>13</v>
      </c>
      <c r="L56">
        <v>7</v>
      </c>
      <c r="M56">
        <v>7</v>
      </c>
      <c r="N56">
        <v>6</v>
      </c>
      <c r="O56">
        <v>0</v>
      </c>
      <c r="P56">
        <v>5</v>
      </c>
      <c r="Q56">
        <v>13</v>
      </c>
      <c r="R56">
        <v>10</v>
      </c>
      <c r="S56">
        <v>8</v>
      </c>
      <c r="T56">
        <v>8</v>
      </c>
      <c r="U56">
        <v>5</v>
      </c>
      <c r="V56">
        <v>0</v>
      </c>
      <c r="W56">
        <v>11</v>
      </c>
      <c r="X56">
        <v>8</v>
      </c>
      <c r="Y56">
        <v>9</v>
      </c>
      <c r="Z56">
        <v>8</v>
      </c>
      <c r="AA56">
        <v>7</v>
      </c>
      <c r="AB56">
        <v>6</v>
      </c>
      <c r="AC56">
        <v>0</v>
      </c>
      <c r="AD56">
        <f t="shared" si="1"/>
        <v>185</v>
      </c>
      <c r="AE56">
        <f t="shared" si="2"/>
        <v>7.25</v>
      </c>
      <c r="AF56">
        <f t="shared" si="3"/>
        <v>9.25</v>
      </c>
      <c r="AG56">
        <f t="shared" si="4"/>
        <v>9.5</v>
      </c>
      <c r="AH56">
        <f t="shared" si="5"/>
        <v>8</v>
      </c>
      <c r="AI56">
        <f t="shared" si="6"/>
        <v>6.75</v>
      </c>
      <c r="AJ56">
        <f t="shared" si="7"/>
        <v>5.5</v>
      </c>
      <c r="AK56">
        <f t="shared" si="8"/>
        <v>0</v>
      </c>
      <c r="AL56" t="s">
        <v>83</v>
      </c>
      <c r="AM56">
        <f t="shared" si="9"/>
        <v>8.15</v>
      </c>
      <c r="AN56">
        <f t="shared" si="10"/>
        <v>13</v>
      </c>
      <c r="AO56">
        <f t="shared" si="11"/>
        <v>11.5</v>
      </c>
      <c r="AP56">
        <f t="shared" si="12"/>
        <v>8.8000000000000007</v>
      </c>
      <c r="AQ56" s="6">
        <v>9</v>
      </c>
      <c r="AR56">
        <v>9</v>
      </c>
      <c r="AV56">
        <v>6</v>
      </c>
      <c r="AW56">
        <f t="shared" si="13"/>
        <v>6</v>
      </c>
      <c r="AX56">
        <f t="shared" si="14"/>
        <v>0</v>
      </c>
      <c r="AY56">
        <f>AVERAGE(AX2:AX56)</f>
        <v>0.92727272727272725</v>
      </c>
    </row>
    <row r="57" spans="1:51" x14ac:dyDescent="0.25">
      <c r="A57" t="s">
        <v>56</v>
      </c>
      <c r="B57">
        <v>5</v>
      </c>
      <c r="C57">
        <v>6</v>
      </c>
      <c r="D57">
        <v>3</v>
      </c>
      <c r="E57">
        <v>2</v>
      </c>
      <c r="F57">
        <v>4</v>
      </c>
      <c r="G57">
        <v>0</v>
      </c>
      <c r="H57">
        <v>0</v>
      </c>
      <c r="I57">
        <v>5</v>
      </c>
      <c r="J57">
        <v>4</v>
      </c>
      <c r="K57">
        <v>3</v>
      </c>
      <c r="L57">
        <v>5</v>
      </c>
      <c r="M57">
        <v>2</v>
      </c>
      <c r="N57">
        <v>0</v>
      </c>
      <c r="O57">
        <v>0</v>
      </c>
      <c r="P57">
        <v>5</v>
      </c>
      <c r="Q57">
        <v>4</v>
      </c>
      <c r="R57">
        <v>3</v>
      </c>
      <c r="S57">
        <v>3</v>
      </c>
      <c r="T57">
        <v>4</v>
      </c>
      <c r="U57">
        <v>0</v>
      </c>
      <c r="V57">
        <v>0</v>
      </c>
      <c r="W57">
        <v>3</v>
      </c>
      <c r="X57">
        <v>5</v>
      </c>
      <c r="Y57">
        <v>8</v>
      </c>
      <c r="Z57">
        <v>5</v>
      </c>
      <c r="AA57">
        <v>3</v>
      </c>
      <c r="AB57">
        <v>0</v>
      </c>
      <c r="AC57">
        <v>0</v>
      </c>
      <c r="AD57">
        <f t="shared" si="1"/>
        <v>82</v>
      </c>
      <c r="AE57">
        <f t="shared" si="2"/>
        <v>4.5</v>
      </c>
      <c r="AF57">
        <f t="shared" si="3"/>
        <v>4.75</v>
      </c>
      <c r="AG57">
        <f t="shared" si="4"/>
        <v>4.25</v>
      </c>
      <c r="AH57">
        <f t="shared" si="5"/>
        <v>3.75</v>
      </c>
      <c r="AI57">
        <f t="shared" si="6"/>
        <v>3.25</v>
      </c>
      <c r="AJ57">
        <f t="shared" si="7"/>
        <v>0</v>
      </c>
      <c r="AK57">
        <f t="shared" si="8"/>
        <v>0</v>
      </c>
      <c r="AL57" t="s">
        <v>84</v>
      </c>
      <c r="AM57">
        <f t="shared" si="9"/>
        <v>4.0999999999999996</v>
      </c>
      <c r="AN57">
        <f t="shared" si="10"/>
        <v>8</v>
      </c>
      <c r="AO57">
        <f t="shared" si="11"/>
        <v>6</v>
      </c>
      <c r="AP57">
        <f t="shared" si="12"/>
        <v>4.8</v>
      </c>
      <c r="AQ57" s="6">
        <v>5</v>
      </c>
      <c r="AR57">
        <v>5</v>
      </c>
      <c r="AV57">
        <v>0</v>
      </c>
      <c r="AW57">
        <f t="shared" si="13"/>
        <v>0</v>
      </c>
      <c r="AX57">
        <f t="shared" si="14"/>
        <v>0</v>
      </c>
    </row>
    <row r="58" spans="1:51" x14ac:dyDescent="0.25">
      <c r="A58" t="s">
        <v>57</v>
      </c>
      <c r="B58">
        <v>3</v>
      </c>
      <c r="C58">
        <v>5</v>
      </c>
      <c r="D58">
        <v>6</v>
      </c>
      <c r="E58">
        <v>2</v>
      </c>
      <c r="F58">
        <v>4</v>
      </c>
      <c r="G58">
        <v>0</v>
      </c>
      <c r="H58">
        <v>0</v>
      </c>
      <c r="I58">
        <v>3</v>
      </c>
      <c r="J58">
        <v>8</v>
      </c>
      <c r="K58">
        <v>5</v>
      </c>
      <c r="L58">
        <v>4</v>
      </c>
      <c r="M58">
        <v>4</v>
      </c>
      <c r="N58">
        <v>0</v>
      </c>
      <c r="O58">
        <v>0</v>
      </c>
      <c r="P58">
        <v>4</v>
      </c>
      <c r="Q58">
        <v>3</v>
      </c>
      <c r="R58">
        <v>4</v>
      </c>
      <c r="S58">
        <v>6</v>
      </c>
      <c r="T58">
        <v>5</v>
      </c>
      <c r="U58">
        <v>0</v>
      </c>
      <c r="V58">
        <v>0</v>
      </c>
      <c r="W58">
        <v>6</v>
      </c>
      <c r="X58">
        <v>5</v>
      </c>
      <c r="Y58">
        <v>4</v>
      </c>
      <c r="Z58">
        <v>8</v>
      </c>
      <c r="AA58">
        <v>3</v>
      </c>
      <c r="AB58">
        <v>0</v>
      </c>
      <c r="AC58">
        <v>0</v>
      </c>
      <c r="AD58">
        <f t="shared" si="1"/>
        <v>92</v>
      </c>
      <c r="AE58">
        <f t="shared" si="2"/>
        <v>4</v>
      </c>
      <c r="AF58">
        <f t="shared" si="3"/>
        <v>5.25</v>
      </c>
      <c r="AG58">
        <f t="shared" si="4"/>
        <v>4.75</v>
      </c>
      <c r="AH58">
        <f t="shared" si="5"/>
        <v>5</v>
      </c>
      <c r="AI58">
        <f t="shared" si="6"/>
        <v>4</v>
      </c>
      <c r="AJ58">
        <f t="shared" si="7"/>
        <v>0</v>
      </c>
      <c r="AK58">
        <f t="shared" si="8"/>
        <v>0</v>
      </c>
      <c r="AL58" t="s">
        <v>84</v>
      </c>
      <c r="AM58">
        <f t="shared" si="9"/>
        <v>4.5999999999999996</v>
      </c>
      <c r="AN58">
        <f t="shared" si="10"/>
        <v>8</v>
      </c>
      <c r="AO58">
        <f t="shared" si="11"/>
        <v>7</v>
      </c>
      <c r="AP58">
        <f t="shared" si="12"/>
        <v>5.2</v>
      </c>
      <c r="AQ58" s="6">
        <v>6</v>
      </c>
      <c r="AR58">
        <v>5</v>
      </c>
      <c r="AV58">
        <v>0</v>
      </c>
      <c r="AW58">
        <f t="shared" si="13"/>
        <v>0</v>
      </c>
      <c r="AX58">
        <f t="shared" si="14"/>
        <v>0</v>
      </c>
    </row>
    <row r="59" spans="1:51" x14ac:dyDescent="0.25">
      <c r="A59" t="s">
        <v>58</v>
      </c>
      <c r="B59">
        <v>7</v>
      </c>
      <c r="C59">
        <v>5</v>
      </c>
      <c r="D59">
        <v>3</v>
      </c>
      <c r="E59">
        <v>2</v>
      </c>
      <c r="F59">
        <v>5</v>
      </c>
      <c r="G59">
        <v>0</v>
      </c>
      <c r="H59">
        <v>0</v>
      </c>
      <c r="I59">
        <v>4</v>
      </c>
      <c r="J59">
        <v>6</v>
      </c>
      <c r="K59">
        <v>4</v>
      </c>
      <c r="L59">
        <v>6</v>
      </c>
      <c r="M59">
        <v>5</v>
      </c>
      <c r="N59">
        <v>0</v>
      </c>
      <c r="O59">
        <v>0</v>
      </c>
      <c r="P59">
        <v>8</v>
      </c>
      <c r="Q59">
        <v>3</v>
      </c>
      <c r="R59">
        <v>6</v>
      </c>
      <c r="S59">
        <v>2</v>
      </c>
      <c r="T59">
        <v>6</v>
      </c>
      <c r="U59">
        <v>0</v>
      </c>
      <c r="V59">
        <v>0</v>
      </c>
      <c r="W59">
        <v>5</v>
      </c>
      <c r="X59">
        <v>3</v>
      </c>
      <c r="Y59">
        <v>7</v>
      </c>
      <c r="Z59">
        <v>2</v>
      </c>
      <c r="AA59">
        <v>3</v>
      </c>
      <c r="AB59">
        <v>0</v>
      </c>
      <c r="AC59">
        <v>0</v>
      </c>
      <c r="AD59">
        <f t="shared" si="1"/>
        <v>92</v>
      </c>
      <c r="AE59">
        <f t="shared" si="2"/>
        <v>6</v>
      </c>
      <c r="AF59">
        <f t="shared" si="3"/>
        <v>4.25</v>
      </c>
      <c r="AG59">
        <f t="shared" si="4"/>
        <v>5</v>
      </c>
      <c r="AH59">
        <f t="shared" si="5"/>
        <v>3</v>
      </c>
      <c r="AI59">
        <f t="shared" si="6"/>
        <v>4.75</v>
      </c>
      <c r="AJ59">
        <f t="shared" si="7"/>
        <v>0</v>
      </c>
      <c r="AK59">
        <f t="shared" si="8"/>
        <v>0</v>
      </c>
      <c r="AL59" t="s">
        <v>84</v>
      </c>
      <c r="AM59">
        <f t="shared" si="9"/>
        <v>4.5999999999999996</v>
      </c>
      <c r="AN59">
        <f t="shared" si="10"/>
        <v>8</v>
      </c>
      <c r="AO59">
        <f t="shared" si="11"/>
        <v>7</v>
      </c>
      <c r="AP59">
        <f t="shared" si="12"/>
        <v>5</v>
      </c>
      <c r="AQ59" s="6">
        <v>5</v>
      </c>
      <c r="AR59">
        <v>5</v>
      </c>
      <c r="AV59">
        <v>0</v>
      </c>
      <c r="AW59">
        <f t="shared" si="13"/>
        <v>0</v>
      </c>
      <c r="AX59">
        <f t="shared" si="14"/>
        <v>0</v>
      </c>
    </row>
    <row r="60" spans="1:51" x14ac:dyDescent="0.25">
      <c r="A60" t="s">
        <v>59</v>
      </c>
      <c r="B60">
        <v>4</v>
      </c>
      <c r="C60">
        <v>2</v>
      </c>
      <c r="D60">
        <v>5</v>
      </c>
      <c r="E60">
        <v>5</v>
      </c>
      <c r="F60">
        <v>5</v>
      </c>
      <c r="G60">
        <v>0</v>
      </c>
      <c r="H60">
        <v>0</v>
      </c>
      <c r="I60">
        <v>4</v>
      </c>
      <c r="J60">
        <v>2</v>
      </c>
      <c r="K60">
        <v>4</v>
      </c>
      <c r="L60">
        <v>3</v>
      </c>
      <c r="M60">
        <v>3</v>
      </c>
      <c r="N60">
        <v>0</v>
      </c>
      <c r="O60">
        <v>0</v>
      </c>
      <c r="P60">
        <v>4</v>
      </c>
      <c r="Q60">
        <v>2</v>
      </c>
      <c r="R60">
        <v>5</v>
      </c>
      <c r="S60">
        <v>2</v>
      </c>
      <c r="T60">
        <v>5</v>
      </c>
      <c r="U60">
        <v>0</v>
      </c>
      <c r="V60">
        <v>0</v>
      </c>
      <c r="W60">
        <v>5</v>
      </c>
      <c r="X60">
        <v>4</v>
      </c>
      <c r="Y60">
        <v>3</v>
      </c>
      <c r="Z60">
        <v>5</v>
      </c>
      <c r="AA60">
        <v>3</v>
      </c>
      <c r="AB60">
        <v>0</v>
      </c>
      <c r="AC60">
        <v>0</v>
      </c>
      <c r="AD60">
        <f t="shared" si="1"/>
        <v>75</v>
      </c>
      <c r="AE60">
        <f t="shared" si="2"/>
        <v>4.25</v>
      </c>
      <c r="AF60">
        <f t="shared" si="3"/>
        <v>2.5</v>
      </c>
      <c r="AG60">
        <f t="shared" si="4"/>
        <v>4.25</v>
      </c>
      <c r="AH60">
        <f t="shared" si="5"/>
        <v>3.75</v>
      </c>
      <c r="AI60">
        <f t="shared" si="6"/>
        <v>4</v>
      </c>
      <c r="AJ60">
        <f t="shared" si="7"/>
        <v>0</v>
      </c>
      <c r="AK60">
        <f t="shared" si="8"/>
        <v>0</v>
      </c>
      <c r="AL60" t="s">
        <v>84</v>
      </c>
      <c r="AM60">
        <f t="shared" si="9"/>
        <v>3.75</v>
      </c>
      <c r="AN60">
        <f t="shared" si="10"/>
        <v>5</v>
      </c>
      <c r="AO60">
        <f t="shared" si="11"/>
        <v>4.75</v>
      </c>
      <c r="AP60">
        <f t="shared" si="12"/>
        <v>4.2</v>
      </c>
      <c r="AQ60" s="6">
        <v>5</v>
      </c>
      <c r="AR60">
        <v>4</v>
      </c>
      <c r="AV60">
        <v>0</v>
      </c>
      <c r="AW60">
        <f t="shared" si="13"/>
        <v>0</v>
      </c>
      <c r="AX60">
        <f t="shared" si="14"/>
        <v>0</v>
      </c>
    </row>
    <row r="61" spans="1:51" x14ac:dyDescent="0.25">
      <c r="A61" t="s">
        <v>60</v>
      </c>
      <c r="B61">
        <v>3</v>
      </c>
      <c r="C61">
        <v>5</v>
      </c>
      <c r="D61">
        <v>3</v>
      </c>
      <c r="E61">
        <v>7</v>
      </c>
      <c r="F61">
        <v>5</v>
      </c>
      <c r="G61">
        <v>0</v>
      </c>
      <c r="H61">
        <v>0</v>
      </c>
      <c r="I61">
        <v>4</v>
      </c>
      <c r="J61">
        <v>4</v>
      </c>
      <c r="K61">
        <v>6</v>
      </c>
      <c r="L61">
        <v>5</v>
      </c>
      <c r="M61">
        <v>5</v>
      </c>
      <c r="N61">
        <v>0</v>
      </c>
      <c r="O61">
        <v>0</v>
      </c>
      <c r="P61">
        <v>3</v>
      </c>
      <c r="Q61">
        <v>4</v>
      </c>
      <c r="R61">
        <v>5</v>
      </c>
      <c r="S61">
        <v>5</v>
      </c>
      <c r="T61">
        <v>2</v>
      </c>
      <c r="U61">
        <v>0</v>
      </c>
      <c r="V61">
        <v>0</v>
      </c>
      <c r="W61">
        <v>4</v>
      </c>
      <c r="X61">
        <v>7</v>
      </c>
      <c r="Y61">
        <v>6</v>
      </c>
      <c r="Z61">
        <v>8</v>
      </c>
      <c r="AA61">
        <v>4</v>
      </c>
      <c r="AB61">
        <v>0</v>
      </c>
      <c r="AC61">
        <v>0</v>
      </c>
      <c r="AD61">
        <f t="shared" si="1"/>
        <v>95</v>
      </c>
      <c r="AE61">
        <f t="shared" si="2"/>
        <v>3.5</v>
      </c>
      <c r="AF61">
        <f t="shared" si="3"/>
        <v>5</v>
      </c>
      <c r="AG61">
        <f t="shared" si="4"/>
        <v>5</v>
      </c>
      <c r="AH61">
        <f t="shared" si="5"/>
        <v>6.25</v>
      </c>
      <c r="AI61">
        <f t="shared" si="6"/>
        <v>4</v>
      </c>
      <c r="AJ61">
        <f t="shared" si="7"/>
        <v>0</v>
      </c>
      <c r="AK61">
        <f t="shared" si="8"/>
        <v>0</v>
      </c>
      <c r="AL61" t="s">
        <v>84</v>
      </c>
      <c r="AM61">
        <f t="shared" si="9"/>
        <v>4.75</v>
      </c>
      <c r="AN61">
        <f t="shared" si="10"/>
        <v>8</v>
      </c>
      <c r="AO61">
        <f t="shared" si="11"/>
        <v>6.5</v>
      </c>
      <c r="AP61">
        <f t="shared" si="12"/>
        <v>5.8</v>
      </c>
      <c r="AQ61" s="6">
        <v>6</v>
      </c>
      <c r="AR61">
        <v>5</v>
      </c>
      <c r="AV61">
        <v>0</v>
      </c>
      <c r="AW61">
        <f t="shared" si="13"/>
        <v>0</v>
      </c>
      <c r="AX61">
        <f t="shared" si="14"/>
        <v>0</v>
      </c>
    </row>
    <row r="62" spans="1:51" x14ac:dyDescent="0.25">
      <c r="A62" t="s">
        <v>61</v>
      </c>
      <c r="B62">
        <v>3</v>
      </c>
      <c r="C62">
        <v>2</v>
      </c>
      <c r="D62">
        <v>6</v>
      </c>
      <c r="E62">
        <v>6</v>
      </c>
      <c r="F62">
        <v>4</v>
      </c>
      <c r="G62">
        <v>0</v>
      </c>
      <c r="H62">
        <v>0</v>
      </c>
      <c r="I62">
        <v>3</v>
      </c>
      <c r="J62">
        <v>8</v>
      </c>
      <c r="K62">
        <v>5</v>
      </c>
      <c r="L62">
        <v>3</v>
      </c>
      <c r="M62">
        <v>3</v>
      </c>
      <c r="N62">
        <v>0</v>
      </c>
      <c r="O62">
        <v>0</v>
      </c>
      <c r="P62">
        <v>4</v>
      </c>
      <c r="Q62">
        <v>5</v>
      </c>
      <c r="R62">
        <v>2</v>
      </c>
      <c r="S62">
        <v>5</v>
      </c>
      <c r="T62">
        <v>5</v>
      </c>
      <c r="U62">
        <v>0</v>
      </c>
      <c r="V62">
        <v>0</v>
      </c>
      <c r="W62">
        <v>5</v>
      </c>
      <c r="X62">
        <v>5</v>
      </c>
      <c r="Y62">
        <v>5</v>
      </c>
      <c r="Z62">
        <v>5</v>
      </c>
      <c r="AA62">
        <v>5</v>
      </c>
      <c r="AB62">
        <v>0</v>
      </c>
      <c r="AC62">
        <v>0</v>
      </c>
      <c r="AD62">
        <f t="shared" si="1"/>
        <v>89</v>
      </c>
      <c r="AE62">
        <f t="shared" si="2"/>
        <v>3.75</v>
      </c>
      <c r="AF62">
        <f t="shared" si="3"/>
        <v>5</v>
      </c>
      <c r="AG62">
        <f t="shared" si="4"/>
        <v>4.5</v>
      </c>
      <c r="AH62">
        <f t="shared" si="5"/>
        <v>4.75</v>
      </c>
      <c r="AI62">
        <f t="shared" si="6"/>
        <v>4.25</v>
      </c>
      <c r="AJ62">
        <f t="shared" si="7"/>
        <v>0</v>
      </c>
      <c r="AK62">
        <f t="shared" si="8"/>
        <v>0</v>
      </c>
      <c r="AL62" t="s">
        <v>85</v>
      </c>
      <c r="AM62">
        <f t="shared" si="9"/>
        <v>4.45</v>
      </c>
      <c r="AN62">
        <f t="shared" si="10"/>
        <v>8</v>
      </c>
      <c r="AO62">
        <f t="shared" si="11"/>
        <v>6</v>
      </c>
      <c r="AP62">
        <f t="shared" si="12"/>
        <v>5</v>
      </c>
      <c r="AQ62" s="6">
        <v>5</v>
      </c>
      <c r="AR62">
        <v>5</v>
      </c>
      <c r="AV62">
        <v>0</v>
      </c>
      <c r="AW62">
        <f t="shared" si="13"/>
        <v>0</v>
      </c>
      <c r="AX62">
        <f t="shared" si="14"/>
        <v>0</v>
      </c>
    </row>
    <row r="63" spans="1:51" x14ac:dyDescent="0.25">
      <c r="A63" t="s">
        <v>62</v>
      </c>
      <c r="B63">
        <v>6</v>
      </c>
      <c r="C63">
        <v>7</v>
      </c>
      <c r="D63">
        <v>4</v>
      </c>
      <c r="E63">
        <v>3</v>
      </c>
      <c r="F63">
        <v>5</v>
      </c>
      <c r="G63">
        <v>0</v>
      </c>
      <c r="H63">
        <v>0</v>
      </c>
      <c r="I63">
        <v>4</v>
      </c>
      <c r="J63">
        <v>6</v>
      </c>
      <c r="K63">
        <v>4</v>
      </c>
      <c r="L63">
        <v>3</v>
      </c>
      <c r="M63">
        <v>7</v>
      </c>
      <c r="N63">
        <v>0</v>
      </c>
      <c r="O63">
        <v>0</v>
      </c>
      <c r="P63">
        <v>7</v>
      </c>
      <c r="Q63">
        <v>5</v>
      </c>
      <c r="R63">
        <v>3</v>
      </c>
      <c r="S63">
        <v>5</v>
      </c>
      <c r="T63">
        <v>3</v>
      </c>
      <c r="U63">
        <v>0</v>
      </c>
      <c r="V63">
        <v>0</v>
      </c>
      <c r="W63">
        <v>5</v>
      </c>
      <c r="X63">
        <v>4</v>
      </c>
      <c r="Y63">
        <v>5</v>
      </c>
      <c r="Z63">
        <v>4</v>
      </c>
      <c r="AA63">
        <v>3</v>
      </c>
      <c r="AB63">
        <v>0</v>
      </c>
      <c r="AC63">
        <v>0</v>
      </c>
      <c r="AD63">
        <f t="shared" si="1"/>
        <v>93</v>
      </c>
      <c r="AE63">
        <f t="shared" si="2"/>
        <v>5.5</v>
      </c>
      <c r="AF63">
        <f t="shared" si="3"/>
        <v>5.5</v>
      </c>
      <c r="AG63">
        <f t="shared" si="4"/>
        <v>4</v>
      </c>
      <c r="AH63">
        <f t="shared" si="5"/>
        <v>3.75</v>
      </c>
      <c r="AI63">
        <f t="shared" si="6"/>
        <v>4.5</v>
      </c>
      <c r="AJ63">
        <f t="shared" si="7"/>
        <v>0</v>
      </c>
      <c r="AK63">
        <f t="shared" si="8"/>
        <v>0</v>
      </c>
      <c r="AL63" t="s">
        <v>85</v>
      </c>
      <c r="AM63">
        <f t="shared" si="9"/>
        <v>4.6500000000000004</v>
      </c>
      <c r="AN63">
        <f t="shared" si="10"/>
        <v>7</v>
      </c>
      <c r="AO63">
        <f t="shared" si="11"/>
        <v>6.5</v>
      </c>
      <c r="AP63">
        <f t="shared" si="12"/>
        <v>5</v>
      </c>
      <c r="AQ63" s="6">
        <v>5</v>
      </c>
      <c r="AR63">
        <v>5</v>
      </c>
      <c r="AV63">
        <v>0</v>
      </c>
      <c r="AW63">
        <f t="shared" si="13"/>
        <v>0</v>
      </c>
      <c r="AX63">
        <f t="shared" si="14"/>
        <v>0</v>
      </c>
    </row>
    <row r="64" spans="1:51" x14ac:dyDescent="0.25">
      <c r="A64" t="s">
        <v>63</v>
      </c>
      <c r="B64">
        <v>4</v>
      </c>
      <c r="C64">
        <v>2</v>
      </c>
      <c r="D64">
        <v>2</v>
      </c>
      <c r="E64">
        <v>6</v>
      </c>
      <c r="F64">
        <v>3</v>
      </c>
      <c r="G64">
        <v>0</v>
      </c>
      <c r="H64">
        <v>0</v>
      </c>
      <c r="I64">
        <v>7</v>
      </c>
      <c r="J64">
        <v>6</v>
      </c>
      <c r="K64">
        <v>6</v>
      </c>
      <c r="L64">
        <v>5</v>
      </c>
      <c r="M64">
        <v>4</v>
      </c>
      <c r="N64">
        <v>0</v>
      </c>
      <c r="O64">
        <v>0</v>
      </c>
      <c r="P64">
        <v>6</v>
      </c>
      <c r="Q64">
        <v>4</v>
      </c>
      <c r="R64">
        <v>3</v>
      </c>
      <c r="S64">
        <v>5</v>
      </c>
      <c r="T64">
        <v>5</v>
      </c>
      <c r="U64">
        <v>0</v>
      </c>
      <c r="V64">
        <v>0</v>
      </c>
      <c r="W64">
        <v>5</v>
      </c>
      <c r="X64">
        <v>5</v>
      </c>
      <c r="Y64">
        <v>5</v>
      </c>
      <c r="Z64">
        <v>7</v>
      </c>
      <c r="AA64">
        <v>7</v>
      </c>
      <c r="AB64">
        <v>0</v>
      </c>
      <c r="AC64">
        <v>0</v>
      </c>
      <c r="AD64">
        <f t="shared" si="1"/>
        <v>97</v>
      </c>
      <c r="AE64">
        <f t="shared" si="2"/>
        <v>5.5</v>
      </c>
      <c r="AF64">
        <f t="shared" si="3"/>
        <v>4.25</v>
      </c>
      <c r="AG64">
        <f t="shared" si="4"/>
        <v>4</v>
      </c>
      <c r="AH64">
        <f t="shared" si="5"/>
        <v>5.75</v>
      </c>
      <c r="AI64">
        <f t="shared" si="6"/>
        <v>4.75</v>
      </c>
      <c r="AJ64">
        <f t="shared" si="7"/>
        <v>0</v>
      </c>
      <c r="AK64">
        <f t="shared" si="8"/>
        <v>0</v>
      </c>
      <c r="AL64" t="s">
        <v>85</v>
      </c>
      <c r="AM64">
        <f t="shared" si="9"/>
        <v>4.8499999999999996</v>
      </c>
      <c r="AN64">
        <f t="shared" si="10"/>
        <v>7</v>
      </c>
      <c r="AO64">
        <f t="shared" si="11"/>
        <v>6.5</v>
      </c>
      <c r="AP64">
        <f t="shared" si="12"/>
        <v>5.8</v>
      </c>
      <c r="AQ64" s="6">
        <v>6</v>
      </c>
      <c r="AR64">
        <v>5</v>
      </c>
      <c r="AV64">
        <v>0</v>
      </c>
      <c r="AW64">
        <f t="shared" si="13"/>
        <v>0</v>
      </c>
      <c r="AX64">
        <f t="shared" si="14"/>
        <v>0</v>
      </c>
    </row>
    <row r="65" spans="1:50" x14ac:dyDescent="0.25">
      <c r="A65" t="s">
        <v>64</v>
      </c>
      <c r="B65">
        <v>4</v>
      </c>
      <c r="C65">
        <v>6</v>
      </c>
      <c r="D65">
        <v>4</v>
      </c>
      <c r="E65">
        <v>5</v>
      </c>
      <c r="F65">
        <v>5</v>
      </c>
      <c r="G65">
        <v>0</v>
      </c>
      <c r="H65">
        <v>0</v>
      </c>
      <c r="I65">
        <v>7</v>
      </c>
      <c r="J65">
        <v>4</v>
      </c>
      <c r="K65">
        <v>3</v>
      </c>
      <c r="L65">
        <v>6</v>
      </c>
      <c r="M65">
        <v>3</v>
      </c>
      <c r="N65">
        <v>0</v>
      </c>
      <c r="O65">
        <v>0</v>
      </c>
      <c r="P65">
        <v>3</v>
      </c>
      <c r="Q65">
        <v>4</v>
      </c>
      <c r="R65">
        <v>6</v>
      </c>
      <c r="S65">
        <v>2</v>
      </c>
      <c r="T65">
        <v>6</v>
      </c>
      <c r="U65">
        <v>0</v>
      </c>
      <c r="V65">
        <v>0</v>
      </c>
      <c r="W65">
        <v>6</v>
      </c>
      <c r="X65">
        <v>6</v>
      </c>
      <c r="Y65">
        <v>6</v>
      </c>
      <c r="Z65">
        <v>3</v>
      </c>
      <c r="AA65">
        <v>6</v>
      </c>
      <c r="AB65">
        <v>0</v>
      </c>
      <c r="AC65">
        <v>0</v>
      </c>
      <c r="AD65">
        <f t="shared" si="1"/>
        <v>95</v>
      </c>
      <c r="AE65">
        <f t="shared" si="2"/>
        <v>5</v>
      </c>
      <c r="AF65">
        <f t="shared" si="3"/>
        <v>5</v>
      </c>
      <c r="AG65">
        <f t="shared" si="4"/>
        <v>4.75</v>
      </c>
      <c r="AH65">
        <f t="shared" si="5"/>
        <v>4</v>
      </c>
      <c r="AI65">
        <f t="shared" si="6"/>
        <v>5</v>
      </c>
      <c r="AJ65">
        <f t="shared" si="7"/>
        <v>0</v>
      </c>
      <c r="AK65">
        <f t="shared" si="8"/>
        <v>0</v>
      </c>
      <c r="AL65" t="s">
        <v>85</v>
      </c>
      <c r="AM65">
        <f t="shared" si="9"/>
        <v>4.75</v>
      </c>
      <c r="AN65">
        <f t="shared" si="10"/>
        <v>7</v>
      </c>
      <c r="AO65">
        <f t="shared" si="11"/>
        <v>6.25</v>
      </c>
      <c r="AP65">
        <f t="shared" si="12"/>
        <v>5.4</v>
      </c>
      <c r="AQ65" s="6">
        <v>6</v>
      </c>
      <c r="AR65">
        <v>5</v>
      </c>
      <c r="AV65">
        <v>0</v>
      </c>
      <c r="AW65">
        <f t="shared" si="13"/>
        <v>0</v>
      </c>
      <c r="AX65">
        <f t="shared" si="14"/>
        <v>0</v>
      </c>
    </row>
    <row r="66" spans="1:50" x14ac:dyDescent="0.25">
      <c r="A66" t="s">
        <v>65</v>
      </c>
      <c r="B66">
        <v>3</v>
      </c>
      <c r="C66">
        <v>3</v>
      </c>
      <c r="D66">
        <v>4</v>
      </c>
      <c r="E66">
        <v>3</v>
      </c>
      <c r="F66">
        <v>4</v>
      </c>
      <c r="G66">
        <v>0</v>
      </c>
      <c r="H66">
        <v>0</v>
      </c>
      <c r="I66">
        <v>7</v>
      </c>
      <c r="J66">
        <v>4</v>
      </c>
      <c r="K66">
        <v>2</v>
      </c>
      <c r="L66">
        <v>5</v>
      </c>
      <c r="M66">
        <v>6</v>
      </c>
      <c r="N66">
        <v>0</v>
      </c>
      <c r="O66">
        <v>0</v>
      </c>
      <c r="P66">
        <v>2</v>
      </c>
      <c r="Q66">
        <v>6</v>
      </c>
      <c r="R66">
        <v>6</v>
      </c>
      <c r="S66">
        <v>3</v>
      </c>
      <c r="T66">
        <v>3</v>
      </c>
      <c r="U66">
        <v>0</v>
      </c>
      <c r="V66">
        <v>0</v>
      </c>
      <c r="W66">
        <v>3</v>
      </c>
      <c r="X66">
        <v>4</v>
      </c>
      <c r="Y66">
        <v>7</v>
      </c>
      <c r="Z66">
        <v>7</v>
      </c>
      <c r="AA66">
        <v>5</v>
      </c>
      <c r="AB66">
        <v>0</v>
      </c>
      <c r="AC66">
        <v>0</v>
      </c>
      <c r="AD66">
        <f t="shared" si="1"/>
        <v>87</v>
      </c>
      <c r="AE66">
        <f t="shared" si="2"/>
        <v>3.75</v>
      </c>
      <c r="AF66">
        <f t="shared" si="3"/>
        <v>4.25</v>
      </c>
      <c r="AG66">
        <f t="shared" si="4"/>
        <v>4.75</v>
      </c>
      <c r="AH66">
        <f t="shared" si="5"/>
        <v>4.5</v>
      </c>
      <c r="AI66">
        <f t="shared" si="6"/>
        <v>4.5</v>
      </c>
      <c r="AJ66">
        <f t="shared" si="7"/>
        <v>0</v>
      </c>
      <c r="AK66">
        <f t="shared" si="8"/>
        <v>0</v>
      </c>
      <c r="AL66" t="s">
        <v>85</v>
      </c>
      <c r="AM66">
        <f t="shared" si="9"/>
        <v>4.3499999999999996</v>
      </c>
      <c r="AN66">
        <f t="shared" si="10"/>
        <v>7</v>
      </c>
      <c r="AO66">
        <f t="shared" si="11"/>
        <v>6</v>
      </c>
      <c r="AP66">
        <f t="shared" si="12"/>
        <v>5.2</v>
      </c>
      <c r="AQ66" s="6">
        <v>6</v>
      </c>
      <c r="AR66">
        <v>5</v>
      </c>
      <c r="AV66">
        <v>0</v>
      </c>
      <c r="AW66">
        <f t="shared" si="13"/>
        <v>0</v>
      </c>
      <c r="AX66">
        <f t="shared" si="14"/>
        <v>0</v>
      </c>
    </row>
    <row r="67" spans="1:50" x14ac:dyDescent="0.25">
      <c r="B67">
        <f>SUM(_14_06_2021)</f>
        <v>496</v>
      </c>
      <c r="C67">
        <f>SUM(_15_06_2021)</f>
        <v>472</v>
      </c>
      <c r="D67">
        <f>SUM(_16_06_2021)</f>
        <v>455</v>
      </c>
      <c r="E67">
        <f>SUM(_17_06_2021)</f>
        <v>461</v>
      </c>
      <c r="F67">
        <f>SUM(_18_06_2021)</f>
        <v>491</v>
      </c>
      <c r="G67">
        <f>SUM(_19_06_2021)</f>
        <v>192</v>
      </c>
      <c r="H67">
        <f>SUM(_20_06_2021)</f>
        <v>0</v>
      </c>
      <c r="I67">
        <f>SUM(_21_06_2021)</f>
        <v>469</v>
      </c>
      <c r="J67">
        <f>SUM(_22_06_2021)</f>
        <v>499</v>
      </c>
      <c r="K67">
        <f>SUM(_23_06_2021)</f>
        <v>483</v>
      </c>
      <c r="L67">
        <f>SUM(_24_06_2021)</f>
        <v>498</v>
      </c>
      <c r="M67">
        <f>SUM(_25_06_2021)</f>
        <v>482</v>
      </c>
      <c r="N67">
        <f>SUM(_26_06_2021)</f>
        <v>203</v>
      </c>
      <c r="O67">
        <f>SUM(_27_06_2021)</f>
        <v>0</v>
      </c>
      <c r="P67">
        <f>SUM(_28_06_2021)</f>
        <v>453</v>
      </c>
      <c r="Q67">
        <f>SUM(_29_06_2021)</f>
        <v>461</v>
      </c>
      <c r="R67">
        <f>SUM(_30_06_2021)</f>
        <v>479</v>
      </c>
      <c r="S67">
        <f>SUM(_1_07_2021)</f>
        <v>455</v>
      </c>
      <c r="T67">
        <f>SUM(_2_07_2021)</f>
        <v>496</v>
      </c>
      <c r="U67">
        <f>SUM(_3_07_2021)</f>
        <v>218</v>
      </c>
      <c r="V67">
        <f>SUM(_4_07_2021)</f>
        <v>0</v>
      </c>
      <c r="W67">
        <f>SUM(_5_07_2021)</f>
        <v>484</v>
      </c>
      <c r="X67">
        <f>SUM(_6_07_2021)</f>
        <v>467</v>
      </c>
      <c r="Y67">
        <f>SUM(_7_07_2021)</f>
        <v>473</v>
      </c>
      <c r="Z67">
        <f>SUM(_8_07_2021)</f>
        <v>476</v>
      </c>
      <c r="AA67">
        <f>SUM(_9_07_2021)</f>
        <v>475</v>
      </c>
      <c r="AB67">
        <f>SUM(_10_07_2021)</f>
        <v>213</v>
      </c>
      <c r="AC67">
        <f>SUM(_11_07_2021)</f>
        <v>0</v>
      </c>
      <c r="AE67">
        <f>AVERAGE(Monday)</f>
        <v>7.328125</v>
      </c>
      <c r="AF67">
        <f>AVERAGE(Tuesday)</f>
        <v>7.3038461538461537</v>
      </c>
      <c r="AG67">
        <f>AVERAGE(Wednesday)</f>
        <v>7.2692307692307692</v>
      </c>
      <c r="AH67">
        <f>AVERAGE(Thursday)</f>
        <v>7.2692307692307692</v>
      </c>
      <c r="AI67">
        <f>AVERAGE(Friday)</f>
        <v>7.476923076923077</v>
      </c>
      <c r="AJ67">
        <f>AVERAGE(Saturday)</f>
        <v>3.1769230769230767</v>
      </c>
    </row>
    <row r="71" spans="1:50" x14ac:dyDescent="0.25">
      <c r="AC71" t="s">
        <v>99</v>
      </c>
      <c r="AE71" t="s">
        <v>69</v>
      </c>
      <c r="AF71" t="s">
        <v>70</v>
      </c>
      <c r="AG71" t="s">
        <v>71</v>
      </c>
      <c r="AH71" t="s">
        <v>72</v>
      </c>
      <c r="AI71" t="s">
        <v>73</v>
      </c>
      <c r="AJ71" t="s">
        <v>74</v>
      </c>
      <c r="AK71" t="s">
        <v>75</v>
      </c>
    </row>
    <row r="72" spans="1:50" x14ac:dyDescent="0.25">
      <c r="AE72">
        <f>MAX(B2,I2,P2,W2)</f>
        <v>8</v>
      </c>
      <c r="AF72">
        <f t="shared" ref="AF72:AK87" si="15">MAX(C2,J2,Q2,X2)</f>
        <v>10</v>
      </c>
      <c r="AG72">
        <f t="shared" si="15"/>
        <v>10</v>
      </c>
      <c r="AH72">
        <f t="shared" si="15"/>
        <v>11</v>
      </c>
      <c r="AI72">
        <f t="shared" si="15"/>
        <v>7</v>
      </c>
      <c r="AJ72">
        <f t="shared" si="15"/>
        <v>6</v>
      </c>
      <c r="AK72">
        <f t="shared" si="15"/>
        <v>0</v>
      </c>
    </row>
    <row r="73" spans="1:50" x14ac:dyDescent="0.25">
      <c r="AE73">
        <f t="shared" ref="AE73:AE136" si="16">MAX(B3,I3,P3,W3)</f>
        <v>11</v>
      </c>
      <c r="AF73">
        <f t="shared" si="15"/>
        <v>8</v>
      </c>
      <c r="AG73">
        <f t="shared" si="15"/>
        <v>13</v>
      </c>
      <c r="AH73">
        <f t="shared" si="15"/>
        <v>11</v>
      </c>
      <c r="AI73">
        <f t="shared" si="15"/>
        <v>8</v>
      </c>
      <c r="AJ73">
        <f t="shared" si="15"/>
        <v>5</v>
      </c>
      <c r="AK73">
        <f t="shared" si="15"/>
        <v>0</v>
      </c>
    </row>
    <row r="74" spans="1:50" x14ac:dyDescent="0.25">
      <c r="AE74">
        <f t="shared" si="16"/>
        <v>9</v>
      </c>
      <c r="AF74">
        <f t="shared" si="15"/>
        <v>10</v>
      </c>
      <c r="AG74">
        <f t="shared" si="15"/>
        <v>10</v>
      </c>
      <c r="AH74">
        <f t="shared" si="15"/>
        <v>7</v>
      </c>
      <c r="AI74">
        <f t="shared" si="15"/>
        <v>14</v>
      </c>
      <c r="AJ74">
        <f t="shared" si="15"/>
        <v>6</v>
      </c>
      <c r="AK74">
        <f t="shared" si="15"/>
        <v>0</v>
      </c>
    </row>
    <row r="75" spans="1:50" x14ac:dyDescent="0.25">
      <c r="AE75">
        <f t="shared" si="16"/>
        <v>9</v>
      </c>
      <c r="AF75">
        <f t="shared" si="15"/>
        <v>9</v>
      </c>
      <c r="AG75">
        <f t="shared" si="15"/>
        <v>12</v>
      </c>
      <c r="AH75">
        <f t="shared" si="15"/>
        <v>10</v>
      </c>
      <c r="AI75">
        <f t="shared" si="15"/>
        <v>12</v>
      </c>
      <c r="AJ75">
        <f t="shared" si="15"/>
        <v>6</v>
      </c>
      <c r="AK75">
        <f t="shared" si="15"/>
        <v>0</v>
      </c>
    </row>
    <row r="76" spans="1:50" x14ac:dyDescent="0.25">
      <c r="AE76">
        <f t="shared" si="16"/>
        <v>9</v>
      </c>
      <c r="AF76">
        <f t="shared" si="15"/>
        <v>8</v>
      </c>
      <c r="AG76">
        <f t="shared" si="15"/>
        <v>9</v>
      </c>
      <c r="AH76">
        <f t="shared" si="15"/>
        <v>10</v>
      </c>
      <c r="AI76">
        <f t="shared" si="15"/>
        <v>9</v>
      </c>
      <c r="AJ76">
        <f t="shared" si="15"/>
        <v>3</v>
      </c>
      <c r="AK76">
        <f t="shared" si="15"/>
        <v>0</v>
      </c>
    </row>
    <row r="77" spans="1:50" x14ac:dyDescent="0.25">
      <c r="AE77">
        <f t="shared" si="16"/>
        <v>11</v>
      </c>
      <c r="AF77">
        <f t="shared" si="15"/>
        <v>11</v>
      </c>
      <c r="AG77">
        <f t="shared" si="15"/>
        <v>10</v>
      </c>
      <c r="AH77">
        <f t="shared" si="15"/>
        <v>11</v>
      </c>
      <c r="AI77">
        <f t="shared" si="15"/>
        <v>9</v>
      </c>
      <c r="AJ77">
        <f t="shared" si="15"/>
        <v>5</v>
      </c>
      <c r="AK77">
        <f t="shared" si="15"/>
        <v>0</v>
      </c>
    </row>
    <row r="78" spans="1:50" x14ac:dyDescent="0.25">
      <c r="AE78">
        <f t="shared" si="16"/>
        <v>14</v>
      </c>
      <c r="AF78">
        <f t="shared" si="15"/>
        <v>11</v>
      </c>
      <c r="AG78">
        <f t="shared" si="15"/>
        <v>10</v>
      </c>
      <c r="AH78">
        <f t="shared" si="15"/>
        <v>9</v>
      </c>
      <c r="AI78">
        <f t="shared" si="15"/>
        <v>14</v>
      </c>
      <c r="AJ78">
        <f t="shared" si="15"/>
        <v>6</v>
      </c>
      <c r="AK78">
        <f t="shared" si="15"/>
        <v>0</v>
      </c>
    </row>
    <row r="79" spans="1:50" x14ac:dyDescent="0.25">
      <c r="AE79">
        <f t="shared" si="16"/>
        <v>10</v>
      </c>
      <c r="AF79">
        <f t="shared" si="15"/>
        <v>9</v>
      </c>
      <c r="AG79">
        <f t="shared" si="15"/>
        <v>11</v>
      </c>
      <c r="AH79">
        <f t="shared" si="15"/>
        <v>8</v>
      </c>
      <c r="AI79">
        <f t="shared" si="15"/>
        <v>7</v>
      </c>
      <c r="AJ79">
        <f t="shared" si="15"/>
        <v>6</v>
      </c>
      <c r="AK79">
        <f t="shared" si="15"/>
        <v>0</v>
      </c>
    </row>
    <row r="80" spans="1:50" x14ac:dyDescent="0.25">
      <c r="AE80">
        <f t="shared" si="16"/>
        <v>10</v>
      </c>
      <c r="AF80">
        <f t="shared" si="15"/>
        <v>12</v>
      </c>
      <c r="AG80">
        <f t="shared" si="15"/>
        <v>13</v>
      </c>
      <c r="AH80">
        <f t="shared" si="15"/>
        <v>9</v>
      </c>
      <c r="AI80">
        <f t="shared" si="15"/>
        <v>11</v>
      </c>
      <c r="AJ80">
        <f t="shared" si="15"/>
        <v>4</v>
      </c>
      <c r="AK80">
        <f t="shared" si="15"/>
        <v>0</v>
      </c>
    </row>
    <row r="81" spans="31:37" x14ac:dyDescent="0.25">
      <c r="AE81">
        <f t="shared" si="16"/>
        <v>11</v>
      </c>
      <c r="AF81">
        <f t="shared" si="15"/>
        <v>9</v>
      </c>
      <c r="AG81">
        <f t="shared" si="15"/>
        <v>13</v>
      </c>
      <c r="AH81">
        <f t="shared" si="15"/>
        <v>11</v>
      </c>
      <c r="AI81">
        <f t="shared" si="15"/>
        <v>12</v>
      </c>
      <c r="AJ81">
        <f t="shared" si="15"/>
        <v>5</v>
      </c>
      <c r="AK81">
        <f t="shared" si="15"/>
        <v>0</v>
      </c>
    </row>
    <row r="82" spans="31:37" x14ac:dyDescent="0.25">
      <c r="AE82">
        <f t="shared" si="16"/>
        <v>10</v>
      </c>
      <c r="AF82">
        <f t="shared" si="15"/>
        <v>11</v>
      </c>
      <c r="AG82">
        <f t="shared" si="15"/>
        <v>13</v>
      </c>
      <c r="AH82">
        <f t="shared" si="15"/>
        <v>11</v>
      </c>
      <c r="AI82">
        <f t="shared" si="15"/>
        <v>12</v>
      </c>
      <c r="AJ82">
        <f t="shared" si="15"/>
        <v>6</v>
      </c>
      <c r="AK82">
        <f t="shared" si="15"/>
        <v>0</v>
      </c>
    </row>
    <row r="83" spans="31:37" x14ac:dyDescent="0.25">
      <c r="AE83">
        <f t="shared" si="16"/>
        <v>10</v>
      </c>
      <c r="AF83">
        <f t="shared" si="15"/>
        <v>13</v>
      </c>
      <c r="AG83">
        <f t="shared" si="15"/>
        <v>9</v>
      </c>
      <c r="AH83">
        <f t="shared" si="15"/>
        <v>7</v>
      </c>
      <c r="AI83">
        <f t="shared" si="15"/>
        <v>10</v>
      </c>
      <c r="AJ83">
        <f t="shared" si="15"/>
        <v>6</v>
      </c>
      <c r="AK83">
        <f t="shared" si="15"/>
        <v>0</v>
      </c>
    </row>
    <row r="84" spans="31:37" x14ac:dyDescent="0.25">
      <c r="AE84">
        <f t="shared" si="16"/>
        <v>12</v>
      </c>
      <c r="AF84">
        <f t="shared" si="15"/>
        <v>9</v>
      </c>
      <c r="AG84">
        <f t="shared" si="15"/>
        <v>8</v>
      </c>
      <c r="AH84">
        <f t="shared" si="15"/>
        <v>11</v>
      </c>
      <c r="AI84">
        <f t="shared" si="15"/>
        <v>12</v>
      </c>
      <c r="AJ84">
        <f t="shared" si="15"/>
        <v>6</v>
      </c>
      <c r="AK84">
        <f t="shared" si="15"/>
        <v>0</v>
      </c>
    </row>
    <row r="85" spans="31:37" x14ac:dyDescent="0.25">
      <c r="AE85">
        <f t="shared" si="16"/>
        <v>10</v>
      </c>
      <c r="AF85">
        <f t="shared" si="15"/>
        <v>12</v>
      </c>
      <c r="AG85">
        <f t="shared" si="15"/>
        <v>9</v>
      </c>
      <c r="AH85">
        <f t="shared" si="15"/>
        <v>12</v>
      </c>
      <c r="AI85">
        <f t="shared" si="15"/>
        <v>12</v>
      </c>
      <c r="AJ85">
        <f t="shared" si="15"/>
        <v>4</v>
      </c>
      <c r="AK85">
        <f t="shared" si="15"/>
        <v>0</v>
      </c>
    </row>
    <row r="86" spans="31:37" x14ac:dyDescent="0.25">
      <c r="AE86">
        <f t="shared" si="16"/>
        <v>11</v>
      </c>
      <c r="AF86">
        <f t="shared" si="15"/>
        <v>11</v>
      </c>
      <c r="AG86">
        <f t="shared" si="15"/>
        <v>8</v>
      </c>
      <c r="AH86">
        <f t="shared" si="15"/>
        <v>12</v>
      </c>
      <c r="AI86">
        <f t="shared" si="15"/>
        <v>10</v>
      </c>
      <c r="AJ86">
        <f t="shared" si="15"/>
        <v>6</v>
      </c>
      <c r="AK86">
        <f t="shared" si="15"/>
        <v>0</v>
      </c>
    </row>
    <row r="87" spans="31:37" x14ac:dyDescent="0.25">
      <c r="AE87">
        <f t="shared" si="16"/>
        <v>9</v>
      </c>
      <c r="AF87">
        <f t="shared" si="15"/>
        <v>15</v>
      </c>
      <c r="AG87">
        <f t="shared" si="15"/>
        <v>12</v>
      </c>
      <c r="AH87">
        <f t="shared" si="15"/>
        <v>11</v>
      </c>
      <c r="AI87">
        <f t="shared" si="15"/>
        <v>13</v>
      </c>
      <c r="AJ87">
        <f t="shared" si="15"/>
        <v>5</v>
      </c>
      <c r="AK87">
        <f t="shared" si="15"/>
        <v>0</v>
      </c>
    </row>
    <row r="88" spans="31:37" x14ac:dyDescent="0.25">
      <c r="AE88">
        <f t="shared" si="16"/>
        <v>7</v>
      </c>
      <c r="AF88">
        <f t="shared" ref="AF88:AF136" si="17">MAX(C18,J18,Q18,X18)</f>
        <v>13</v>
      </c>
      <c r="AG88">
        <f t="shared" ref="AG88:AG136" si="18">MAX(D18,K18,R18,Y18)</f>
        <v>11</v>
      </c>
      <c r="AH88">
        <f t="shared" ref="AH88:AH136" si="19">MAX(E18,L18,S18,Z18)</f>
        <v>15</v>
      </c>
      <c r="AI88">
        <f t="shared" ref="AI88:AI136" si="20">MAX(F18,M18,T18,AA18)</f>
        <v>10</v>
      </c>
      <c r="AJ88">
        <f t="shared" ref="AJ88:AJ136" si="21">MAX(G18,N18,U18,AB18)</f>
        <v>5</v>
      </c>
      <c r="AK88">
        <f t="shared" ref="AK88:AK136" si="22">MAX(H18,O18,V18,AC18)</f>
        <v>0</v>
      </c>
    </row>
    <row r="89" spans="31:37" x14ac:dyDescent="0.25">
      <c r="AE89">
        <f t="shared" si="16"/>
        <v>9</v>
      </c>
      <c r="AF89">
        <f t="shared" si="17"/>
        <v>11</v>
      </c>
      <c r="AG89">
        <f t="shared" si="18"/>
        <v>10</v>
      </c>
      <c r="AH89">
        <f t="shared" si="19"/>
        <v>9</v>
      </c>
      <c r="AI89">
        <f t="shared" si="20"/>
        <v>14</v>
      </c>
      <c r="AJ89">
        <f t="shared" si="21"/>
        <v>6</v>
      </c>
      <c r="AK89">
        <f t="shared" si="22"/>
        <v>0</v>
      </c>
    </row>
    <row r="90" spans="31:37" x14ac:dyDescent="0.25">
      <c r="AE90">
        <f t="shared" si="16"/>
        <v>12</v>
      </c>
      <c r="AF90">
        <f t="shared" si="17"/>
        <v>11</v>
      </c>
      <c r="AG90">
        <f t="shared" si="18"/>
        <v>12</v>
      </c>
      <c r="AH90">
        <f t="shared" si="19"/>
        <v>9</v>
      </c>
      <c r="AI90">
        <f t="shared" si="20"/>
        <v>9</v>
      </c>
      <c r="AJ90">
        <f t="shared" si="21"/>
        <v>6</v>
      </c>
      <c r="AK90">
        <f t="shared" si="22"/>
        <v>0</v>
      </c>
    </row>
    <row r="91" spans="31:37" x14ac:dyDescent="0.25">
      <c r="AE91">
        <f t="shared" si="16"/>
        <v>7</v>
      </c>
      <c r="AF91">
        <f t="shared" si="17"/>
        <v>9</v>
      </c>
      <c r="AG91">
        <f t="shared" si="18"/>
        <v>8</v>
      </c>
      <c r="AH91">
        <f t="shared" si="19"/>
        <v>9</v>
      </c>
      <c r="AI91">
        <f t="shared" si="20"/>
        <v>9</v>
      </c>
      <c r="AJ91">
        <f t="shared" si="21"/>
        <v>5</v>
      </c>
      <c r="AK91">
        <f t="shared" si="22"/>
        <v>0</v>
      </c>
    </row>
    <row r="92" spans="31:37" x14ac:dyDescent="0.25">
      <c r="AE92">
        <f t="shared" si="16"/>
        <v>9</v>
      </c>
      <c r="AF92">
        <f t="shared" si="17"/>
        <v>9</v>
      </c>
      <c r="AG92">
        <f t="shared" si="18"/>
        <v>9</v>
      </c>
      <c r="AH92">
        <f t="shared" si="19"/>
        <v>15</v>
      </c>
      <c r="AI92">
        <f t="shared" si="20"/>
        <v>10</v>
      </c>
      <c r="AJ92">
        <f t="shared" si="21"/>
        <v>5</v>
      </c>
      <c r="AK92">
        <f t="shared" si="22"/>
        <v>0</v>
      </c>
    </row>
    <row r="93" spans="31:37" x14ac:dyDescent="0.25">
      <c r="AE93">
        <f t="shared" si="16"/>
        <v>12</v>
      </c>
      <c r="AF93">
        <f t="shared" si="17"/>
        <v>9</v>
      </c>
      <c r="AG93">
        <f t="shared" si="18"/>
        <v>9</v>
      </c>
      <c r="AH93">
        <f t="shared" si="19"/>
        <v>10</v>
      </c>
      <c r="AI93">
        <f t="shared" si="20"/>
        <v>10</v>
      </c>
      <c r="AJ93">
        <f t="shared" si="21"/>
        <v>4</v>
      </c>
      <c r="AK93">
        <f t="shared" si="22"/>
        <v>0</v>
      </c>
    </row>
    <row r="94" spans="31:37" x14ac:dyDescent="0.25">
      <c r="AE94">
        <f t="shared" si="16"/>
        <v>9</v>
      </c>
      <c r="AF94">
        <f t="shared" si="17"/>
        <v>7</v>
      </c>
      <c r="AG94">
        <f t="shared" si="18"/>
        <v>10</v>
      </c>
      <c r="AH94">
        <f t="shared" si="19"/>
        <v>9</v>
      </c>
      <c r="AI94">
        <f t="shared" si="20"/>
        <v>13</v>
      </c>
      <c r="AJ94">
        <f t="shared" si="21"/>
        <v>6</v>
      </c>
      <c r="AK94">
        <f t="shared" si="22"/>
        <v>0</v>
      </c>
    </row>
    <row r="95" spans="31:37" x14ac:dyDescent="0.25">
      <c r="AE95">
        <f t="shared" si="16"/>
        <v>8</v>
      </c>
      <c r="AF95">
        <f t="shared" si="17"/>
        <v>11</v>
      </c>
      <c r="AG95">
        <f t="shared" si="18"/>
        <v>10</v>
      </c>
      <c r="AH95">
        <f t="shared" si="19"/>
        <v>10</v>
      </c>
      <c r="AI95">
        <f t="shared" si="20"/>
        <v>10</v>
      </c>
      <c r="AJ95">
        <f t="shared" si="21"/>
        <v>6</v>
      </c>
      <c r="AK95">
        <f t="shared" si="22"/>
        <v>0</v>
      </c>
    </row>
    <row r="96" spans="31:37" x14ac:dyDescent="0.25">
      <c r="AE96">
        <f t="shared" si="16"/>
        <v>11</v>
      </c>
      <c r="AF96">
        <f t="shared" si="17"/>
        <v>12</v>
      </c>
      <c r="AG96">
        <f t="shared" si="18"/>
        <v>12</v>
      </c>
      <c r="AH96">
        <f t="shared" si="19"/>
        <v>8</v>
      </c>
      <c r="AI96">
        <f t="shared" si="20"/>
        <v>10</v>
      </c>
      <c r="AJ96">
        <f t="shared" si="21"/>
        <v>5</v>
      </c>
      <c r="AK96">
        <f t="shared" si="22"/>
        <v>0</v>
      </c>
    </row>
    <row r="97" spans="31:37" x14ac:dyDescent="0.25">
      <c r="AE97">
        <f t="shared" si="16"/>
        <v>9</v>
      </c>
      <c r="AF97">
        <f t="shared" si="17"/>
        <v>9</v>
      </c>
      <c r="AG97">
        <f t="shared" si="18"/>
        <v>10</v>
      </c>
      <c r="AH97">
        <f t="shared" si="19"/>
        <v>11</v>
      </c>
      <c r="AI97">
        <f t="shared" si="20"/>
        <v>12</v>
      </c>
      <c r="AJ97">
        <f t="shared" si="21"/>
        <v>6</v>
      </c>
      <c r="AK97">
        <f t="shared" si="22"/>
        <v>0</v>
      </c>
    </row>
    <row r="98" spans="31:37" x14ac:dyDescent="0.25">
      <c r="AE98">
        <f t="shared" si="16"/>
        <v>11</v>
      </c>
      <c r="AF98">
        <f t="shared" si="17"/>
        <v>7</v>
      </c>
      <c r="AG98">
        <f t="shared" si="18"/>
        <v>10</v>
      </c>
      <c r="AH98">
        <f t="shared" si="19"/>
        <v>12</v>
      </c>
      <c r="AI98">
        <f t="shared" si="20"/>
        <v>10</v>
      </c>
      <c r="AJ98">
        <f t="shared" si="21"/>
        <v>5</v>
      </c>
      <c r="AK98">
        <f t="shared" si="22"/>
        <v>0</v>
      </c>
    </row>
    <row r="99" spans="31:37" x14ac:dyDescent="0.25">
      <c r="AE99">
        <f t="shared" si="16"/>
        <v>10</v>
      </c>
      <c r="AF99">
        <f t="shared" si="17"/>
        <v>10</v>
      </c>
      <c r="AG99">
        <f t="shared" si="18"/>
        <v>12</v>
      </c>
      <c r="AH99">
        <f t="shared" si="19"/>
        <v>11</v>
      </c>
      <c r="AI99">
        <f t="shared" si="20"/>
        <v>11</v>
      </c>
      <c r="AJ99">
        <f t="shared" si="21"/>
        <v>4</v>
      </c>
      <c r="AK99">
        <f t="shared" si="22"/>
        <v>0</v>
      </c>
    </row>
    <row r="100" spans="31:37" x14ac:dyDescent="0.25">
      <c r="AE100">
        <f t="shared" si="16"/>
        <v>6</v>
      </c>
      <c r="AF100">
        <f t="shared" si="17"/>
        <v>6</v>
      </c>
      <c r="AG100">
        <f t="shared" si="18"/>
        <v>7</v>
      </c>
      <c r="AH100">
        <f t="shared" si="19"/>
        <v>5</v>
      </c>
      <c r="AI100">
        <f t="shared" si="20"/>
        <v>5</v>
      </c>
      <c r="AJ100">
        <f t="shared" si="21"/>
        <v>0</v>
      </c>
      <c r="AK100">
        <f t="shared" si="22"/>
        <v>0</v>
      </c>
    </row>
    <row r="101" spans="31:37" x14ac:dyDescent="0.25">
      <c r="AE101">
        <f t="shared" si="16"/>
        <v>7</v>
      </c>
      <c r="AF101">
        <f t="shared" si="17"/>
        <v>5</v>
      </c>
      <c r="AG101">
        <f t="shared" si="18"/>
        <v>4</v>
      </c>
      <c r="AH101">
        <f t="shared" si="19"/>
        <v>9</v>
      </c>
      <c r="AI101">
        <f t="shared" si="20"/>
        <v>5</v>
      </c>
      <c r="AJ101">
        <f t="shared" si="21"/>
        <v>0</v>
      </c>
      <c r="AK101">
        <f t="shared" si="22"/>
        <v>0</v>
      </c>
    </row>
    <row r="102" spans="31:37" x14ac:dyDescent="0.25">
      <c r="AE102">
        <f t="shared" si="16"/>
        <v>11</v>
      </c>
      <c r="AF102">
        <f t="shared" si="17"/>
        <v>12</v>
      </c>
      <c r="AG102">
        <f t="shared" si="18"/>
        <v>12</v>
      </c>
      <c r="AH102">
        <f t="shared" si="19"/>
        <v>10</v>
      </c>
      <c r="AI102">
        <f t="shared" si="20"/>
        <v>11</v>
      </c>
      <c r="AJ102">
        <f t="shared" si="21"/>
        <v>6</v>
      </c>
      <c r="AK102">
        <f t="shared" si="22"/>
        <v>0</v>
      </c>
    </row>
    <row r="103" spans="31:37" x14ac:dyDescent="0.25">
      <c r="AE103">
        <f t="shared" si="16"/>
        <v>10</v>
      </c>
      <c r="AF103">
        <f t="shared" si="17"/>
        <v>11</v>
      </c>
      <c r="AG103">
        <f t="shared" si="18"/>
        <v>10</v>
      </c>
      <c r="AH103">
        <f t="shared" si="19"/>
        <v>8</v>
      </c>
      <c r="AI103">
        <f t="shared" si="20"/>
        <v>13</v>
      </c>
      <c r="AJ103">
        <f t="shared" si="21"/>
        <v>6</v>
      </c>
      <c r="AK103">
        <f t="shared" si="22"/>
        <v>0</v>
      </c>
    </row>
    <row r="104" spans="31:37" x14ac:dyDescent="0.25">
      <c r="AE104">
        <f t="shared" si="16"/>
        <v>11</v>
      </c>
      <c r="AF104">
        <f t="shared" si="17"/>
        <v>9</v>
      </c>
      <c r="AG104">
        <f t="shared" si="18"/>
        <v>11</v>
      </c>
      <c r="AH104">
        <f t="shared" si="19"/>
        <v>9</v>
      </c>
      <c r="AI104">
        <f t="shared" si="20"/>
        <v>10</v>
      </c>
      <c r="AJ104">
        <f t="shared" si="21"/>
        <v>6</v>
      </c>
      <c r="AK104">
        <f t="shared" si="22"/>
        <v>0</v>
      </c>
    </row>
    <row r="105" spans="31:37" x14ac:dyDescent="0.25">
      <c r="AE105">
        <f t="shared" si="16"/>
        <v>13</v>
      </c>
      <c r="AF105">
        <f t="shared" si="17"/>
        <v>12</v>
      </c>
      <c r="AG105">
        <f t="shared" si="18"/>
        <v>12</v>
      </c>
      <c r="AH105">
        <f t="shared" si="19"/>
        <v>12</v>
      </c>
      <c r="AI105">
        <f t="shared" si="20"/>
        <v>9</v>
      </c>
      <c r="AJ105">
        <f t="shared" si="21"/>
        <v>6</v>
      </c>
      <c r="AK105">
        <f t="shared" si="22"/>
        <v>0</v>
      </c>
    </row>
    <row r="106" spans="31:37" x14ac:dyDescent="0.25">
      <c r="AE106">
        <f t="shared" si="16"/>
        <v>7</v>
      </c>
      <c r="AF106">
        <f t="shared" si="17"/>
        <v>11</v>
      </c>
      <c r="AG106">
        <f t="shared" si="18"/>
        <v>11</v>
      </c>
      <c r="AH106">
        <f t="shared" si="19"/>
        <v>11</v>
      </c>
      <c r="AI106">
        <f t="shared" si="20"/>
        <v>12</v>
      </c>
      <c r="AJ106">
        <f t="shared" si="21"/>
        <v>4</v>
      </c>
      <c r="AK106">
        <f t="shared" si="22"/>
        <v>0</v>
      </c>
    </row>
    <row r="107" spans="31:37" x14ac:dyDescent="0.25">
      <c r="AE107">
        <f t="shared" si="16"/>
        <v>9</v>
      </c>
      <c r="AF107">
        <f t="shared" si="17"/>
        <v>9</v>
      </c>
      <c r="AG107">
        <f t="shared" si="18"/>
        <v>7</v>
      </c>
      <c r="AH107">
        <f t="shared" si="19"/>
        <v>11</v>
      </c>
      <c r="AI107">
        <f t="shared" si="20"/>
        <v>10</v>
      </c>
      <c r="AJ107">
        <f t="shared" si="21"/>
        <v>6</v>
      </c>
      <c r="AK107">
        <f t="shared" si="22"/>
        <v>0</v>
      </c>
    </row>
    <row r="108" spans="31:37" x14ac:dyDescent="0.25">
      <c r="AE108">
        <f t="shared" si="16"/>
        <v>11</v>
      </c>
      <c r="AF108">
        <f t="shared" si="17"/>
        <v>10</v>
      </c>
      <c r="AG108">
        <f t="shared" si="18"/>
        <v>10</v>
      </c>
      <c r="AH108">
        <f t="shared" si="19"/>
        <v>11</v>
      </c>
      <c r="AI108">
        <f t="shared" si="20"/>
        <v>9</v>
      </c>
      <c r="AJ108">
        <f t="shared" si="21"/>
        <v>6</v>
      </c>
      <c r="AK108">
        <f t="shared" si="22"/>
        <v>0</v>
      </c>
    </row>
    <row r="109" spans="31:37" x14ac:dyDescent="0.25">
      <c r="AE109">
        <f t="shared" si="16"/>
        <v>12</v>
      </c>
      <c r="AF109">
        <f t="shared" si="17"/>
        <v>8</v>
      </c>
      <c r="AG109">
        <f t="shared" si="18"/>
        <v>8</v>
      </c>
      <c r="AH109">
        <f t="shared" si="19"/>
        <v>11</v>
      </c>
      <c r="AI109">
        <f t="shared" si="20"/>
        <v>11</v>
      </c>
      <c r="AJ109">
        <f t="shared" si="21"/>
        <v>6</v>
      </c>
      <c r="AK109">
        <f t="shared" si="22"/>
        <v>0</v>
      </c>
    </row>
    <row r="110" spans="31:37" x14ac:dyDescent="0.25">
      <c r="AE110">
        <f t="shared" si="16"/>
        <v>11</v>
      </c>
      <c r="AF110">
        <f t="shared" si="17"/>
        <v>10</v>
      </c>
      <c r="AG110">
        <f t="shared" si="18"/>
        <v>8</v>
      </c>
      <c r="AH110">
        <f t="shared" si="19"/>
        <v>10</v>
      </c>
      <c r="AI110">
        <f t="shared" si="20"/>
        <v>10</v>
      </c>
      <c r="AJ110">
        <f t="shared" si="21"/>
        <v>4</v>
      </c>
      <c r="AK110">
        <f t="shared" si="22"/>
        <v>0</v>
      </c>
    </row>
    <row r="111" spans="31:37" x14ac:dyDescent="0.25">
      <c r="AE111">
        <f t="shared" si="16"/>
        <v>11</v>
      </c>
      <c r="AF111">
        <f t="shared" si="17"/>
        <v>8</v>
      </c>
      <c r="AG111">
        <f t="shared" si="18"/>
        <v>13</v>
      </c>
      <c r="AH111">
        <f t="shared" si="19"/>
        <v>10</v>
      </c>
      <c r="AI111">
        <f t="shared" si="20"/>
        <v>10</v>
      </c>
      <c r="AJ111">
        <f t="shared" si="21"/>
        <v>6</v>
      </c>
      <c r="AK111">
        <f t="shared" si="22"/>
        <v>0</v>
      </c>
    </row>
    <row r="112" spans="31:37" x14ac:dyDescent="0.25">
      <c r="AE112">
        <f t="shared" si="16"/>
        <v>9</v>
      </c>
      <c r="AF112">
        <f t="shared" si="17"/>
        <v>13</v>
      </c>
      <c r="AG112">
        <f t="shared" si="18"/>
        <v>8</v>
      </c>
      <c r="AH112">
        <f t="shared" si="19"/>
        <v>12</v>
      </c>
      <c r="AI112">
        <f t="shared" si="20"/>
        <v>8</v>
      </c>
      <c r="AJ112">
        <f t="shared" si="21"/>
        <v>4</v>
      </c>
      <c r="AK112">
        <f t="shared" si="22"/>
        <v>0</v>
      </c>
    </row>
    <row r="113" spans="31:37" x14ac:dyDescent="0.25">
      <c r="AE113">
        <f t="shared" si="16"/>
        <v>13</v>
      </c>
      <c r="AF113">
        <f t="shared" si="17"/>
        <v>10</v>
      </c>
      <c r="AG113">
        <f t="shared" si="18"/>
        <v>11</v>
      </c>
      <c r="AH113">
        <f t="shared" si="19"/>
        <v>11</v>
      </c>
      <c r="AI113">
        <f t="shared" si="20"/>
        <v>12</v>
      </c>
      <c r="AJ113">
        <f t="shared" si="21"/>
        <v>4</v>
      </c>
      <c r="AK113">
        <f t="shared" si="22"/>
        <v>0</v>
      </c>
    </row>
    <row r="114" spans="31:37" x14ac:dyDescent="0.25">
      <c r="AE114">
        <f t="shared" si="16"/>
        <v>8</v>
      </c>
      <c r="AF114">
        <f t="shared" si="17"/>
        <v>11</v>
      </c>
      <c r="AG114">
        <f t="shared" si="18"/>
        <v>11</v>
      </c>
      <c r="AH114">
        <f t="shared" si="19"/>
        <v>14</v>
      </c>
      <c r="AI114">
        <f t="shared" si="20"/>
        <v>10</v>
      </c>
      <c r="AJ114">
        <f t="shared" si="21"/>
        <v>5</v>
      </c>
      <c r="AK114">
        <f t="shared" si="22"/>
        <v>0</v>
      </c>
    </row>
    <row r="115" spans="31:37" x14ac:dyDescent="0.25">
      <c r="AE115">
        <f t="shared" si="16"/>
        <v>8</v>
      </c>
      <c r="AF115">
        <f t="shared" si="17"/>
        <v>11</v>
      </c>
      <c r="AG115">
        <f t="shared" si="18"/>
        <v>12</v>
      </c>
      <c r="AH115">
        <f t="shared" si="19"/>
        <v>13</v>
      </c>
      <c r="AI115">
        <f t="shared" si="20"/>
        <v>10</v>
      </c>
      <c r="AJ115">
        <f t="shared" si="21"/>
        <v>6</v>
      </c>
      <c r="AK115">
        <f t="shared" si="22"/>
        <v>0</v>
      </c>
    </row>
    <row r="116" spans="31:37" x14ac:dyDescent="0.25">
      <c r="AE116">
        <f t="shared" si="16"/>
        <v>10</v>
      </c>
      <c r="AF116">
        <f t="shared" si="17"/>
        <v>7</v>
      </c>
      <c r="AG116">
        <f t="shared" si="18"/>
        <v>7</v>
      </c>
      <c r="AH116">
        <f t="shared" si="19"/>
        <v>10</v>
      </c>
      <c r="AI116">
        <f t="shared" si="20"/>
        <v>8</v>
      </c>
      <c r="AJ116">
        <f t="shared" si="21"/>
        <v>5</v>
      </c>
      <c r="AK116">
        <f t="shared" si="22"/>
        <v>0</v>
      </c>
    </row>
    <row r="117" spans="31:37" x14ac:dyDescent="0.25">
      <c r="AE117">
        <f t="shared" si="16"/>
        <v>10</v>
      </c>
      <c r="AF117">
        <f t="shared" si="17"/>
        <v>10</v>
      </c>
      <c r="AG117">
        <f t="shared" si="18"/>
        <v>13</v>
      </c>
      <c r="AH117">
        <f t="shared" si="19"/>
        <v>12</v>
      </c>
      <c r="AI117">
        <f t="shared" si="20"/>
        <v>9</v>
      </c>
      <c r="AJ117">
        <f t="shared" si="21"/>
        <v>4</v>
      </c>
      <c r="AK117">
        <f t="shared" si="22"/>
        <v>0</v>
      </c>
    </row>
    <row r="118" spans="31:37" x14ac:dyDescent="0.25">
      <c r="AE118">
        <f t="shared" si="16"/>
        <v>10</v>
      </c>
      <c r="AF118">
        <f t="shared" si="17"/>
        <v>11</v>
      </c>
      <c r="AG118">
        <f t="shared" si="18"/>
        <v>10</v>
      </c>
      <c r="AH118">
        <f t="shared" si="19"/>
        <v>12</v>
      </c>
      <c r="AI118">
        <f t="shared" si="20"/>
        <v>10</v>
      </c>
      <c r="AJ118">
        <f t="shared" si="21"/>
        <v>5</v>
      </c>
      <c r="AK118">
        <f t="shared" si="22"/>
        <v>0</v>
      </c>
    </row>
    <row r="119" spans="31:37" x14ac:dyDescent="0.25">
      <c r="AE119">
        <f t="shared" si="16"/>
        <v>11</v>
      </c>
      <c r="AF119">
        <f t="shared" si="17"/>
        <v>8</v>
      </c>
      <c r="AG119">
        <f t="shared" si="18"/>
        <v>12</v>
      </c>
      <c r="AH119">
        <f t="shared" si="19"/>
        <v>15</v>
      </c>
      <c r="AI119">
        <f t="shared" si="20"/>
        <v>11</v>
      </c>
      <c r="AJ119">
        <f t="shared" si="21"/>
        <v>5</v>
      </c>
      <c r="AK119">
        <f t="shared" si="22"/>
        <v>0</v>
      </c>
    </row>
    <row r="120" spans="31:37" x14ac:dyDescent="0.25">
      <c r="AE120">
        <f t="shared" si="16"/>
        <v>8</v>
      </c>
      <c r="AF120">
        <f t="shared" si="17"/>
        <v>10</v>
      </c>
      <c r="AG120">
        <f t="shared" si="18"/>
        <v>10</v>
      </c>
      <c r="AH120">
        <f t="shared" si="19"/>
        <v>9</v>
      </c>
      <c r="AI120">
        <f t="shared" si="20"/>
        <v>15</v>
      </c>
      <c r="AJ120">
        <f t="shared" si="21"/>
        <v>5</v>
      </c>
      <c r="AK120">
        <f t="shared" si="22"/>
        <v>0</v>
      </c>
    </row>
    <row r="121" spans="31:37" x14ac:dyDescent="0.25">
      <c r="AE121">
        <f t="shared" si="16"/>
        <v>10</v>
      </c>
      <c r="AF121">
        <f t="shared" si="17"/>
        <v>7</v>
      </c>
      <c r="AG121">
        <f t="shared" si="18"/>
        <v>13</v>
      </c>
      <c r="AH121">
        <f t="shared" si="19"/>
        <v>8</v>
      </c>
      <c r="AI121">
        <f t="shared" si="20"/>
        <v>12</v>
      </c>
      <c r="AJ121">
        <f t="shared" si="21"/>
        <v>4</v>
      </c>
      <c r="AK121">
        <f t="shared" si="22"/>
        <v>0</v>
      </c>
    </row>
    <row r="122" spans="31:37" x14ac:dyDescent="0.25">
      <c r="AE122">
        <f t="shared" si="16"/>
        <v>12</v>
      </c>
      <c r="AF122">
        <f t="shared" si="17"/>
        <v>10</v>
      </c>
      <c r="AG122">
        <f t="shared" si="18"/>
        <v>6</v>
      </c>
      <c r="AH122">
        <f t="shared" si="19"/>
        <v>11</v>
      </c>
      <c r="AI122">
        <f t="shared" si="20"/>
        <v>12</v>
      </c>
      <c r="AJ122">
        <f t="shared" si="21"/>
        <v>6</v>
      </c>
      <c r="AK122">
        <f t="shared" si="22"/>
        <v>0</v>
      </c>
    </row>
    <row r="123" spans="31:37" x14ac:dyDescent="0.25">
      <c r="AE123">
        <f t="shared" si="16"/>
        <v>9</v>
      </c>
      <c r="AF123">
        <f t="shared" si="17"/>
        <v>10</v>
      </c>
      <c r="AG123">
        <f t="shared" si="18"/>
        <v>11</v>
      </c>
      <c r="AH123">
        <f t="shared" si="19"/>
        <v>8</v>
      </c>
      <c r="AI123">
        <f t="shared" si="20"/>
        <v>12</v>
      </c>
      <c r="AJ123">
        <f t="shared" si="21"/>
        <v>5</v>
      </c>
      <c r="AK123">
        <f t="shared" si="22"/>
        <v>0</v>
      </c>
    </row>
    <row r="124" spans="31:37" x14ac:dyDescent="0.25">
      <c r="AE124">
        <f t="shared" si="16"/>
        <v>13</v>
      </c>
      <c r="AF124">
        <f t="shared" si="17"/>
        <v>14</v>
      </c>
      <c r="AG124">
        <f t="shared" si="18"/>
        <v>11</v>
      </c>
      <c r="AH124">
        <f t="shared" si="19"/>
        <v>10</v>
      </c>
      <c r="AI124">
        <f t="shared" si="20"/>
        <v>11</v>
      </c>
      <c r="AJ124">
        <f t="shared" si="21"/>
        <v>6</v>
      </c>
      <c r="AK124">
        <f t="shared" si="22"/>
        <v>0</v>
      </c>
    </row>
    <row r="125" spans="31:37" x14ac:dyDescent="0.25">
      <c r="AE125">
        <f t="shared" si="16"/>
        <v>15</v>
      </c>
      <c r="AF125">
        <f t="shared" si="17"/>
        <v>10</v>
      </c>
      <c r="AG125">
        <f t="shared" si="18"/>
        <v>10</v>
      </c>
      <c r="AH125">
        <f t="shared" si="19"/>
        <v>13</v>
      </c>
      <c r="AI125">
        <f t="shared" si="20"/>
        <v>12</v>
      </c>
      <c r="AJ125">
        <f t="shared" si="21"/>
        <v>5</v>
      </c>
      <c r="AK125">
        <f t="shared" si="22"/>
        <v>0</v>
      </c>
    </row>
    <row r="126" spans="31:37" x14ac:dyDescent="0.25">
      <c r="AE126">
        <f t="shared" si="16"/>
        <v>11</v>
      </c>
      <c r="AF126">
        <f t="shared" si="17"/>
        <v>13</v>
      </c>
      <c r="AG126">
        <f t="shared" si="18"/>
        <v>13</v>
      </c>
      <c r="AH126">
        <f t="shared" si="19"/>
        <v>9</v>
      </c>
      <c r="AI126">
        <f t="shared" si="20"/>
        <v>8</v>
      </c>
      <c r="AJ126">
        <f t="shared" si="21"/>
        <v>6</v>
      </c>
      <c r="AK126">
        <f t="shared" si="22"/>
        <v>0</v>
      </c>
    </row>
    <row r="127" spans="31:37" x14ac:dyDescent="0.25">
      <c r="AE127">
        <f t="shared" si="16"/>
        <v>5</v>
      </c>
      <c r="AF127">
        <f t="shared" si="17"/>
        <v>6</v>
      </c>
      <c r="AG127">
        <f t="shared" si="18"/>
        <v>8</v>
      </c>
      <c r="AH127">
        <f t="shared" si="19"/>
        <v>5</v>
      </c>
      <c r="AI127">
        <f t="shared" si="20"/>
        <v>4</v>
      </c>
      <c r="AJ127">
        <f t="shared" si="21"/>
        <v>0</v>
      </c>
      <c r="AK127">
        <f t="shared" si="22"/>
        <v>0</v>
      </c>
    </row>
    <row r="128" spans="31:37" x14ac:dyDescent="0.25">
      <c r="AE128">
        <f t="shared" si="16"/>
        <v>6</v>
      </c>
      <c r="AF128">
        <f t="shared" si="17"/>
        <v>8</v>
      </c>
      <c r="AG128">
        <f t="shared" si="18"/>
        <v>6</v>
      </c>
      <c r="AH128">
        <f t="shared" si="19"/>
        <v>8</v>
      </c>
      <c r="AI128">
        <f t="shared" si="20"/>
        <v>5</v>
      </c>
      <c r="AJ128">
        <f t="shared" si="21"/>
        <v>0</v>
      </c>
      <c r="AK128">
        <f t="shared" si="22"/>
        <v>0</v>
      </c>
    </row>
    <row r="129" spans="31:37" x14ac:dyDescent="0.25">
      <c r="AE129">
        <f t="shared" si="16"/>
        <v>8</v>
      </c>
      <c r="AF129">
        <f t="shared" si="17"/>
        <v>6</v>
      </c>
      <c r="AG129">
        <f t="shared" si="18"/>
        <v>7</v>
      </c>
      <c r="AH129">
        <f t="shared" si="19"/>
        <v>6</v>
      </c>
      <c r="AI129">
        <f t="shared" si="20"/>
        <v>6</v>
      </c>
      <c r="AJ129">
        <f t="shared" si="21"/>
        <v>0</v>
      </c>
      <c r="AK129">
        <f t="shared" si="22"/>
        <v>0</v>
      </c>
    </row>
    <row r="130" spans="31:37" x14ac:dyDescent="0.25">
      <c r="AE130">
        <f t="shared" si="16"/>
        <v>5</v>
      </c>
      <c r="AF130">
        <f t="shared" si="17"/>
        <v>4</v>
      </c>
      <c r="AG130">
        <f t="shared" si="18"/>
        <v>5</v>
      </c>
      <c r="AH130">
        <f t="shared" si="19"/>
        <v>5</v>
      </c>
      <c r="AI130">
        <f t="shared" si="20"/>
        <v>5</v>
      </c>
      <c r="AJ130">
        <f t="shared" si="21"/>
        <v>0</v>
      </c>
      <c r="AK130">
        <f t="shared" si="22"/>
        <v>0</v>
      </c>
    </row>
    <row r="131" spans="31:37" x14ac:dyDescent="0.25">
      <c r="AE131">
        <f t="shared" si="16"/>
        <v>4</v>
      </c>
      <c r="AF131">
        <f t="shared" si="17"/>
        <v>7</v>
      </c>
      <c r="AG131">
        <f t="shared" si="18"/>
        <v>6</v>
      </c>
      <c r="AH131">
        <f t="shared" si="19"/>
        <v>8</v>
      </c>
      <c r="AI131">
        <f t="shared" si="20"/>
        <v>5</v>
      </c>
      <c r="AJ131">
        <f t="shared" si="21"/>
        <v>0</v>
      </c>
      <c r="AK131">
        <f t="shared" si="22"/>
        <v>0</v>
      </c>
    </row>
    <row r="132" spans="31:37" x14ac:dyDescent="0.25">
      <c r="AE132">
        <f t="shared" si="16"/>
        <v>5</v>
      </c>
      <c r="AF132">
        <f t="shared" si="17"/>
        <v>8</v>
      </c>
      <c r="AG132">
        <f t="shared" si="18"/>
        <v>6</v>
      </c>
      <c r="AH132">
        <f t="shared" si="19"/>
        <v>6</v>
      </c>
      <c r="AI132">
        <f t="shared" si="20"/>
        <v>5</v>
      </c>
      <c r="AJ132">
        <f t="shared" si="21"/>
        <v>0</v>
      </c>
      <c r="AK132">
        <f t="shared" si="22"/>
        <v>0</v>
      </c>
    </row>
    <row r="133" spans="31:37" x14ac:dyDescent="0.25">
      <c r="AE133">
        <f t="shared" si="16"/>
        <v>7</v>
      </c>
      <c r="AF133">
        <f t="shared" si="17"/>
        <v>7</v>
      </c>
      <c r="AG133">
        <f t="shared" si="18"/>
        <v>5</v>
      </c>
      <c r="AH133">
        <f t="shared" si="19"/>
        <v>5</v>
      </c>
      <c r="AI133">
        <f t="shared" si="20"/>
        <v>7</v>
      </c>
      <c r="AJ133">
        <f t="shared" si="21"/>
        <v>0</v>
      </c>
      <c r="AK133">
        <f t="shared" si="22"/>
        <v>0</v>
      </c>
    </row>
    <row r="134" spans="31:37" x14ac:dyDescent="0.25">
      <c r="AE134">
        <f t="shared" si="16"/>
        <v>7</v>
      </c>
      <c r="AF134">
        <f t="shared" si="17"/>
        <v>6</v>
      </c>
      <c r="AG134">
        <f t="shared" si="18"/>
        <v>6</v>
      </c>
      <c r="AH134">
        <f t="shared" si="19"/>
        <v>7</v>
      </c>
      <c r="AI134">
        <f t="shared" si="20"/>
        <v>7</v>
      </c>
      <c r="AJ134">
        <f t="shared" si="21"/>
        <v>0</v>
      </c>
      <c r="AK134">
        <f t="shared" si="22"/>
        <v>0</v>
      </c>
    </row>
    <row r="135" spans="31:37" x14ac:dyDescent="0.25">
      <c r="AE135">
        <f t="shared" si="16"/>
        <v>7</v>
      </c>
      <c r="AF135">
        <f t="shared" si="17"/>
        <v>6</v>
      </c>
      <c r="AG135">
        <f t="shared" si="18"/>
        <v>6</v>
      </c>
      <c r="AH135">
        <f t="shared" si="19"/>
        <v>6</v>
      </c>
      <c r="AI135">
        <f t="shared" si="20"/>
        <v>6</v>
      </c>
      <c r="AJ135">
        <f t="shared" si="21"/>
        <v>0</v>
      </c>
      <c r="AK135">
        <f t="shared" si="22"/>
        <v>0</v>
      </c>
    </row>
    <row r="136" spans="31:37" x14ac:dyDescent="0.25">
      <c r="AE136">
        <f t="shared" si="16"/>
        <v>7</v>
      </c>
      <c r="AF136">
        <f t="shared" si="17"/>
        <v>6</v>
      </c>
      <c r="AG136">
        <f t="shared" si="18"/>
        <v>7</v>
      </c>
      <c r="AH136">
        <f t="shared" si="19"/>
        <v>7</v>
      </c>
      <c r="AI136">
        <f t="shared" si="20"/>
        <v>6</v>
      </c>
      <c r="AJ136">
        <f t="shared" si="21"/>
        <v>0</v>
      </c>
      <c r="AK136">
        <f t="shared" si="22"/>
        <v>0</v>
      </c>
    </row>
    <row r="137" spans="31:37" x14ac:dyDescent="0.25">
      <c r="AE137">
        <f>SUM(AE72:AE136)</f>
        <v>615</v>
      </c>
      <c r="AF137">
        <f t="shared" ref="AF137:AK137" si="23">SUM(AF72:AF136)</f>
        <v>616</v>
      </c>
      <c r="AG137">
        <f t="shared" si="23"/>
        <v>626</v>
      </c>
      <c r="AH137">
        <f t="shared" si="23"/>
        <v>636</v>
      </c>
      <c r="AI137">
        <f t="shared" si="23"/>
        <v>631</v>
      </c>
      <c r="AJ137">
        <f t="shared" si="23"/>
        <v>279</v>
      </c>
      <c r="AK137">
        <f t="shared" si="23"/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Sheet2</vt:lpstr>
      <vt:lpstr>Sheet3</vt:lpstr>
      <vt:lpstr>Sheet4</vt:lpstr>
      <vt:lpstr>WoolworthsDemands</vt:lpstr>
      <vt:lpstr>_1_07_2021</vt:lpstr>
      <vt:lpstr>_10_07_2021</vt:lpstr>
      <vt:lpstr>_11_07_2021</vt:lpstr>
      <vt:lpstr>_14_06_2021</vt:lpstr>
      <vt:lpstr>_15_06_2021</vt:lpstr>
      <vt:lpstr>_16_06_2021</vt:lpstr>
      <vt:lpstr>_17_06_2021</vt:lpstr>
      <vt:lpstr>_18_06_2021</vt:lpstr>
      <vt:lpstr>_19_06_2021</vt:lpstr>
      <vt:lpstr>_2_07_2021</vt:lpstr>
      <vt:lpstr>_20_06_2021</vt:lpstr>
      <vt:lpstr>_21_06_2021</vt:lpstr>
      <vt:lpstr>_22_06_2021</vt:lpstr>
      <vt:lpstr>_23_06_2021</vt:lpstr>
      <vt:lpstr>_24_06_2021</vt:lpstr>
      <vt:lpstr>_25_06_2021</vt:lpstr>
      <vt:lpstr>_26_06_2021</vt:lpstr>
      <vt:lpstr>_27_06_2021</vt:lpstr>
      <vt:lpstr>_28_06_2021</vt:lpstr>
      <vt:lpstr>_29_06_2021</vt:lpstr>
      <vt:lpstr>_3_07_2021</vt:lpstr>
      <vt:lpstr>_30_06_2021</vt:lpstr>
      <vt:lpstr>_4_07_2021</vt:lpstr>
      <vt:lpstr>_5_07_2021</vt:lpstr>
      <vt:lpstr>_6_07_2021</vt:lpstr>
      <vt:lpstr>_7_07_2021</vt:lpstr>
      <vt:lpstr>_8_07_2021</vt:lpstr>
      <vt:lpstr>_9_07_2021</vt:lpstr>
      <vt:lpstr>Average_of_Weekday_Max</vt:lpstr>
      <vt:lpstr>DemandData</vt:lpstr>
      <vt:lpstr>Friday</vt:lpstr>
      <vt:lpstr>Max_of_Weekday_Average</vt:lpstr>
      <vt:lpstr>Max_Value</vt:lpstr>
      <vt:lpstr>Monday</vt:lpstr>
      <vt:lpstr>Saturday</vt:lpstr>
      <vt:lpstr>Store</vt:lpstr>
      <vt:lpstr>StoreType</vt:lpstr>
      <vt:lpstr>Sunday</vt:lpstr>
      <vt:lpstr>Thursday</vt:lpstr>
      <vt:lpstr>Total</vt:lpstr>
      <vt:lpstr>Tuesday</vt:lpstr>
      <vt:lpstr>Wednesday</vt:lpstr>
      <vt:lpstr>Weekday_Average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GGPC</dc:creator>
  <cp:lastModifiedBy>GGPC</cp:lastModifiedBy>
  <dcterms:created xsi:type="dcterms:W3CDTF">2021-09-22T10:05:28Z</dcterms:created>
  <dcterms:modified xsi:type="dcterms:W3CDTF">2021-10-06T08:48:25Z</dcterms:modified>
</cp:coreProperties>
</file>